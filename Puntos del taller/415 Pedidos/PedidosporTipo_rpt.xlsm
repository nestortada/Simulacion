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nestortada_unisabana_edu_co/Documents/Universidad/2025-1/Simulación/Puntos del taller/415 Pedidos/"/>
    </mc:Choice>
  </mc:AlternateContent>
  <xr:revisionPtr revIDLastSave="36" documentId="13_ncr:1_{325E12FA-5483-41CA-B36F-0BB911A2EF96}" xr6:coauthVersionLast="47" xr6:coauthVersionMax="47" xr10:uidLastSave="{2483E87E-890E-4AED-9099-E5B97F38357E}"/>
  <bookViews>
    <workbookView xWindow="-120" yWindow="-120" windowWidth="20730" windowHeight="111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ContinuousTimeStatsByRep!$A$1:$L$271</definedName>
    <definedName name="ExternalData_1" localSheetId="4" hidden="1">CounterStatsByRep!$A$1:$G$91</definedName>
    <definedName name="ExternalData_1" localSheetId="2" hidden="1">DiscreteTimeStatsByRep!$A$1:$K$331</definedName>
    <definedName name="ExternalData_1" localSheetId="6" hidden="1">FrequencyStatsByRep!$A$1:$K$2</definedName>
    <definedName name="ExternalData_1" localSheetId="5" hidden="1">OutputStatsByRep!$A$1:$H$211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J2" i="20" a="1"/>
  <c r="J2" i="20" s="1"/>
  <c r="J3" i="20" a="1"/>
  <c r="J3" i="20" s="1"/>
  <c r="J4" i="20" a="1"/>
  <c r="J4" i="20" s="1"/>
  <c r="J5" i="20" a="1"/>
  <c r="J5" i="20"/>
  <c r="J6" i="20" a="1"/>
  <c r="J6" i="20" s="1"/>
  <c r="J7" i="20" a="1"/>
  <c r="J7" i="20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N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N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N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N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N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N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N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N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/>
  <c r="J136" i="20" a="1"/>
  <c r="J136" i="20" s="1"/>
  <c r="J137" i="20" a="1"/>
  <c r="J137" i="20" s="1"/>
  <c r="N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/>
  <c r="J168" i="20" a="1"/>
  <c r="J168" i="20" s="1"/>
  <c r="J169" i="20" a="1"/>
  <c r="J169" i="20"/>
  <c r="J170" i="20" a="1"/>
  <c r="J170" i="20" s="1"/>
  <c r="J171" i="20" a="1"/>
  <c r="J171" i="20" s="1"/>
  <c r="J172" i="20" a="1"/>
  <c r="J172" i="20"/>
  <c r="J173" i="20" a="1"/>
  <c r="J173" i="20" s="1"/>
  <c r="J174" i="20" a="1"/>
  <c r="J174" i="20" s="1"/>
  <c r="N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/>
  <c r="K143" i="20" a="1"/>
  <c r="K143" i="20" s="1"/>
  <c r="K144" i="20" a="1"/>
  <c r="K144" i="20" s="1"/>
  <c r="K145" i="20" a="1"/>
  <c r="K145" i="20" s="1"/>
  <c r="K146" i="20" a="1"/>
  <c r="K146" i="20"/>
  <c r="K147" i="20" a="1"/>
  <c r="K147" i="20" s="1"/>
  <c r="K148" i="20" a="1"/>
  <c r="K148" i="20" s="1"/>
  <c r="K149" i="20" a="1"/>
  <c r="K149" i="20" s="1"/>
  <c r="K150" i="20" a="1"/>
  <c r="K150" i="20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/>
  <c r="K159" i="20" a="1"/>
  <c r="K159" i="20" s="1"/>
  <c r="K160" i="20" a="1"/>
  <c r="K160" i="20" s="1"/>
  <c r="K161" i="20" a="1"/>
  <c r="K161" i="20" s="1"/>
  <c r="K162" i="20" a="1"/>
  <c r="K162" i="20"/>
  <c r="K163" i="20" a="1"/>
  <c r="K163" i="20" s="1"/>
  <c r="K164" i="20" a="1"/>
  <c r="K164" i="20" s="1"/>
  <c r="K165" i="20" a="1"/>
  <c r="K165" i="20" s="1"/>
  <c r="K166" i="20" a="1"/>
  <c r="K166" i="20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/>
  <c r="K179" i="20" a="1"/>
  <c r="K179" i="20" s="1"/>
  <c r="K180" i="20" a="1"/>
  <c r="K180" i="20" s="1"/>
  <c r="K181" i="20" a="1"/>
  <c r="K181" i="20" s="1"/>
  <c r="K182" i="20" a="1"/>
  <c r="K182" i="20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L2" i="20" a="1"/>
  <c r="L2" i="20" s="1"/>
  <c r="L3" i="20" a="1"/>
  <c r="L3" i="20" s="1"/>
  <c r="L4" i="20" a="1"/>
  <c r="L4" i="20" s="1"/>
  <c r="L5" i="20" a="1"/>
  <c r="L5" i="20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N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N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N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N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N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N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N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N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N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N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N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M2" i="20" a="1"/>
  <c r="M2" i="20" s="1"/>
  <c r="M3" i="20" a="1"/>
  <c r="M3" i="20" s="1"/>
  <c r="N3" i="20" s="1"/>
  <c r="M4" i="20" a="1"/>
  <c r="M4" i="20" s="1"/>
  <c r="M5" i="20" a="1"/>
  <c r="M5" i="20" s="1"/>
  <c r="M6" i="20" a="1"/>
  <c r="M6" i="20" s="1"/>
  <c r="M7" i="20" a="1"/>
  <c r="M7" i="20" s="1"/>
  <c r="N7" i="20" s="1"/>
  <c r="M8" i="20" a="1"/>
  <c r="M8" i="20" s="1"/>
  <c r="M9" i="20" a="1"/>
  <c r="M9" i="20" s="1"/>
  <c r="N9" i="20" s="1"/>
  <c r="M10" i="20" a="1"/>
  <c r="M10" i="20" s="1"/>
  <c r="M11" i="20" a="1"/>
  <c r="M11" i="20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N17" i="20" s="1"/>
  <c r="M18" i="20" a="1"/>
  <c r="M18" i="20" s="1"/>
  <c r="M19" i="20" a="1"/>
  <c r="M19" i="20" s="1"/>
  <c r="N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N25" i="20" s="1"/>
  <c r="M26" i="20" a="1"/>
  <c r="M26" i="20" s="1"/>
  <c r="M27" i="20" a="1"/>
  <c r="M27" i="20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N33" i="20" s="1"/>
  <c r="M34" i="20" a="1"/>
  <c r="M34" i="20" s="1"/>
  <c r="M35" i="20" a="1"/>
  <c r="M35" i="20" s="1"/>
  <c r="N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N41" i="20" s="1"/>
  <c r="M42" i="20" a="1"/>
  <c r="M42" i="20" s="1"/>
  <c r="M43" i="20" a="1"/>
  <c r="M43" i="20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N49" i="20" s="1"/>
  <c r="M50" i="20" a="1"/>
  <c r="M50" i="20" s="1"/>
  <c r="M51" i="20" a="1"/>
  <c r="M51" i="20" s="1"/>
  <c r="N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N57" i="20" s="1"/>
  <c r="M58" i="20" a="1"/>
  <c r="M58" i="20" s="1"/>
  <c r="M59" i="20" a="1"/>
  <c r="M59" i="20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N65" i="20" s="1"/>
  <c r="M66" i="20" a="1"/>
  <c r="M66" i="20" s="1"/>
  <c r="M67" i="20" a="1"/>
  <c r="M67" i="20" s="1"/>
  <c r="N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N73" i="20" s="1"/>
  <c r="M74" i="20" a="1"/>
  <c r="M74" i="20" s="1"/>
  <c r="M75" i="20" a="1"/>
  <c r="M75" i="20" s="1"/>
  <c r="N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N81" i="20" s="1"/>
  <c r="M82" i="20" a="1"/>
  <c r="M82" i="20" s="1"/>
  <c r="M83" i="20" a="1"/>
  <c r="M83" i="20" s="1"/>
  <c r="N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/>
  <c r="M90" i="20" a="1"/>
  <c r="M90" i="20" s="1"/>
  <c r="M91" i="20" a="1"/>
  <c r="M91" i="20" s="1"/>
  <c r="N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N97" i="20" s="1"/>
  <c r="M98" i="20" a="1"/>
  <c r="M98" i="20" s="1"/>
  <c r="M99" i="20" a="1"/>
  <c r="M99" i="20" s="1"/>
  <c r="N99" i="20" s="1"/>
  <c r="M100" i="20" a="1"/>
  <c r="M100" i="20" s="1"/>
  <c r="M101" i="20" a="1"/>
  <c r="M101" i="20"/>
  <c r="M102" i="20" a="1"/>
  <c r="M102" i="20" s="1"/>
  <c r="M103" i="20" a="1"/>
  <c r="M103" i="20" s="1"/>
  <c r="M104" i="20" a="1"/>
  <c r="M104" i="20" s="1"/>
  <c r="M105" i="20" a="1"/>
  <c r="M105" i="20" s="1"/>
  <c r="N105" i="20" s="1"/>
  <c r="M106" i="20" a="1"/>
  <c r="M106" i="20" s="1"/>
  <c r="M107" i="20" a="1"/>
  <c r="M107" i="20"/>
  <c r="M108" i="20" a="1"/>
  <c r="M108" i="20" s="1"/>
  <c r="M109" i="20" a="1"/>
  <c r="M109" i="20" s="1"/>
  <c r="N109" i="20" s="1"/>
  <c r="M110" i="20" a="1"/>
  <c r="M110" i="20" s="1"/>
  <c r="M111" i="20" a="1"/>
  <c r="M111" i="20" s="1"/>
  <c r="N111" i="20" s="1"/>
  <c r="M112" i="20" a="1"/>
  <c r="M112" i="20" s="1"/>
  <c r="M113" i="20" a="1"/>
  <c r="M113" i="20" s="1"/>
  <c r="N113" i="20" s="1"/>
  <c r="M114" i="20" a="1"/>
  <c r="M114" i="20" s="1"/>
  <c r="M115" i="20" a="1"/>
  <c r="M115" i="20" s="1"/>
  <c r="N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N121" i="20" s="1"/>
  <c r="M122" i="20" a="1"/>
  <c r="M122" i="20" s="1"/>
  <c r="M123" i="20" a="1"/>
  <c r="M123" i="20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N129" i="20" s="1"/>
  <c r="M130" i="20" a="1"/>
  <c r="M130" i="20" s="1"/>
  <c r="M131" i="20" a="1"/>
  <c r="M131" i="20"/>
  <c r="M132" i="20" a="1"/>
  <c r="M132" i="20" s="1"/>
  <c r="M133" i="20" a="1"/>
  <c r="M133" i="20" s="1"/>
  <c r="M134" i="20" a="1"/>
  <c r="M134" i="20" s="1"/>
  <c r="M135" i="20" a="1"/>
  <c r="M135" i="20" s="1"/>
  <c r="N135" i="20" s="1"/>
  <c r="M136" i="20" a="1"/>
  <c r="M136" i="20" s="1"/>
  <c r="M137" i="20" a="1"/>
  <c r="M137" i="20" s="1"/>
  <c r="M138" i="20" a="1"/>
  <c r="M138" i="20" s="1"/>
  <c r="M139" i="20" a="1"/>
  <c r="M139" i="20"/>
  <c r="M140" i="20" a="1"/>
  <c r="M140" i="20" s="1"/>
  <c r="M141" i="20" a="1"/>
  <c r="M141" i="20" s="1"/>
  <c r="N141" i="20" s="1"/>
  <c r="M142" i="20" a="1"/>
  <c r="M142" i="20" s="1"/>
  <c r="M143" i="20" a="1"/>
  <c r="M143" i="20" s="1"/>
  <c r="M144" i="20" a="1"/>
  <c r="M144" i="20" s="1"/>
  <c r="M145" i="20" a="1"/>
  <c r="M145" i="20" s="1"/>
  <c r="N145" i="20" s="1"/>
  <c r="M146" i="20" a="1"/>
  <c r="M146" i="20" s="1"/>
  <c r="M147" i="20" a="1"/>
  <c r="M147" i="20"/>
  <c r="M148" i="20" a="1"/>
  <c r="M148" i="20" s="1"/>
  <c r="M149" i="20" a="1"/>
  <c r="M149" i="20" s="1"/>
  <c r="M150" i="20" a="1"/>
  <c r="M150" i="20" s="1"/>
  <c r="M151" i="20" a="1"/>
  <c r="M151" i="20" s="1"/>
  <c r="M152" i="20" a="1"/>
  <c r="M152" i="20" s="1"/>
  <c r="M153" i="20" a="1"/>
  <c r="M153" i="20" s="1"/>
  <c r="N153" i="20" s="1"/>
  <c r="M154" i="20" a="1"/>
  <c r="M154" i="20" s="1"/>
  <c r="M155" i="20" a="1"/>
  <c r="M155" i="20"/>
  <c r="M156" i="20" a="1"/>
  <c r="M156" i="20" s="1"/>
  <c r="M157" i="20" a="1"/>
  <c r="M157" i="20" s="1"/>
  <c r="M158" i="20" a="1"/>
  <c r="M158" i="20" s="1"/>
  <c r="M159" i="20" a="1"/>
  <c r="M159" i="20" s="1"/>
  <c r="N159" i="20" s="1"/>
  <c r="M160" i="20" a="1"/>
  <c r="M160" i="20" s="1"/>
  <c r="M161" i="20" a="1"/>
  <c r="M161" i="20" s="1"/>
  <c r="N161" i="20" s="1"/>
  <c r="M162" i="20" a="1"/>
  <c r="M162" i="20" s="1"/>
  <c r="M163" i="20" a="1"/>
  <c r="M163" i="20"/>
  <c r="M164" i="20" a="1"/>
  <c r="M164" i="20" s="1"/>
  <c r="M165" i="20" a="1"/>
  <c r="M165" i="20" s="1"/>
  <c r="M166" i="20" a="1"/>
  <c r="M166" i="20" s="1"/>
  <c r="M167" i="20" a="1"/>
  <c r="M167" i="20" s="1"/>
  <c r="N167" i="20" s="1"/>
  <c r="M168" i="20" a="1"/>
  <c r="M168" i="20" s="1"/>
  <c r="M169" i="20" a="1"/>
  <c r="M169" i="20" s="1"/>
  <c r="N169" i="20" s="1"/>
  <c r="M170" i="20" a="1"/>
  <c r="M170" i="20" s="1"/>
  <c r="M171" i="20" a="1"/>
  <c r="M171" i="20"/>
  <c r="M172" i="20" a="1"/>
  <c r="M172" i="20" s="1"/>
  <c r="M173" i="20" a="1"/>
  <c r="M173" i="20" s="1"/>
  <c r="M174" i="20" a="1"/>
  <c r="M174" i="20" s="1"/>
  <c r="M175" i="20" a="1"/>
  <c r="M175" i="20" s="1"/>
  <c r="N175" i="20" s="1"/>
  <c r="M176" i="20" a="1"/>
  <c r="M176" i="20" s="1"/>
  <c r="M177" i="20" a="1"/>
  <c r="M177" i="20" s="1"/>
  <c r="N177" i="20" s="1"/>
  <c r="M178" i="20" a="1"/>
  <c r="M178" i="20" s="1"/>
  <c r="M179" i="20" a="1"/>
  <c r="M179" i="20"/>
  <c r="M180" i="20" a="1"/>
  <c r="M180" i="20" s="1"/>
  <c r="M181" i="20" a="1"/>
  <c r="M181" i="20" s="1"/>
  <c r="M182" i="20" a="1"/>
  <c r="M182" i="20" s="1"/>
  <c r="M183" i="20" a="1"/>
  <c r="M183" i="20" s="1"/>
  <c r="N183" i="20" s="1"/>
  <c r="M184" i="20" a="1"/>
  <c r="M184" i="20" s="1"/>
  <c r="M185" i="20" a="1"/>
  <c r="M185" i="20" s="1"/>
  <c r="N185" i="20" s="1"/>
  <c r="M186" i="20" a="1"/>
  <c r="M186" i="20" s="1"/>
  <c r="M187" i="20" a="1"/>
  <c r="M187" i="20" s="1"/>
  <c r="N187" i="20" s="1"/>
  <c r="M188" i="20" a="1"/>
  <c r="M188" i="20" s="1"/>
  <c r="M189" i="20" a="1"/>
  <c r="M189" i="20" s="1"/>
  <c r="M190" i="20" a="1"/>
  <c r="M190" i="20" s="1"/>
  <c r="M191" i="20" a="1"/>
  <c r="M191" i="20" s="1"/>
  <c r="N191" i="20" s="1"/>
  <c r="M192" i="20" a="1"/>
  <c r="M192" i="20" s="1"/>
  <c r="M193" i="20" a="1"/>
  <c r="M193" i="20" s="1"/>
  <c r="M194" i="20" a="1"/>
  <c r="M194" i="20" s="1"/>
  <c r="N194" i="20" s="1"/>
  <c r="M195" i="20" a="1"/>
  <c r="M195" i="20" s="1"/>
  <c r="N195" i="20" s="1"/>
  <c r="M196" i="20" a="1"/>
  <c r="M196" i="20" s="1"/>
  <c r="M197" i="20" a="1"/>
  <c r="M197" i="20" s="1"/>
  <c r="M198" i="20" a="1"/>
  <c r="M198" i="20" s="1"/>
  <c r="M199" i="20" a="1"/>
  <c r="M199" i="20" s="1"/>
  <c r="N199" i="20" s="1"/>
  <c r="M200" i="20" a="1"/>
  <c r="M200" i="20" s="1"/>
  <c r="N200" i="20" s="1"/>
  <c r="M201" i="20" a="1"/>
  <c r="M201" i="20" s="1"/>
  <c r="M202" i="20" a="1"/>
  <c r="M202" i="20" s="1"/>
  <c r="M203" i="20" a="1"/>
  <c r="M203" i="20" s="1"/>
  <c r="N203" i="20" s="1"/>
  <c r="M204" i="20" a="1"/>
  <c r="M204" i="20" s="1"/>
  <c r="M205" i="20" a="1"/>
  <c r="M205" i="20" s="1"/>
  <c r="M206" i="20" a="1"/>
  <c r="M206" i="20" s="1"/>
  <c r="M207" i="20" a="1"/>
  <c r="M207" i="20" s="1"/>
  <c r="N207" i="20" s="1"/>
  <c r="M208" i="20" a="1"/>
  <c r="M208" i="20" s="1"/>
  <c r="M209" i="20" a="1"/>
  <c r="M209" i="20" s="1"/>
  <c r="M210" i="20" a="1"/>
  <c r="M210" i="20" s="1"/>
  <c r="N210" i="20" s="1"/>
  <c r="M211" i="20" a="1"/>
  <c r="M211" i="20" s="1"/>
  <c r="N2" i="20"/>
  <c r="N4" i="20"/>
  <c r="N5" i="20"/>
  <c r="N6" i="20"/>
  <c r="N8" i="20"/>
  <c r="N10" i="20"/>
  <c r="N11" i="20"/>
  <c r="N12" i="20"/>
  <c r="N13" i="20"/>
  <c r="N14" i="20"/>
  <c r="N15" i="20"/>
  <c r="N16" i="20"/>
  <c r="N18" i="20"/>
  <c r="N20" i="20"/>
  <c r="N22" i="20"/>
  <c r="N24" i="20"/>
  <c r="N26" i="20"/>
  <c r="N27" i="20"/>
  <c r="N28" i="20"/>
  <c r="N30" i="20"/>
  <c r="N32" i="20"/>
  <c r="N34" i="20"/>
  <c r="N36" i="20"/>
  <c r="N37" i="20"/>
  <c r="N38" i="20"/>
  <c r="N40" i="20"/>
  <c r="N42" i="20"/>
  <c r="N43" i="20"/>
  <c r="N44" i="20"/>
  <c r="N45" i="20"/>
  <c r="N46" i="20"/>
  <c r="N47" i="20"/>
  <c r="N48" i="20"/>
  <c r="N50" i="20"/>
  <c r="N52" i="20"/>
  <c r="N54" i="20"/>
  <c r="N56" i="20"/>
  <c r="N58" i="20"/>
  <c r="N59" i="20"/>
  <c r="N60" i="20"/>
  <c r="N62" i="20"/>
  <c r="N64" i="20"/>
  <c r="N66" i="20"/>
  <c r="N68" i="20"/>
  <c r="N70" i="20"/>
  <c r="N72" i="20"/>
  <c r="N74" i="20"/>
  <c r="N76" i="20"/>
  <c r="N77" i="20"/>
  <c r="N78" i="20"/>
  <c r="N79" i="20"/>
  <c r="N80" i="20"/>
  <c r="N82" i="20"/>
  <c r="N84" i="20"/>
  <c r="N86" i="20"/>
  <c r="N88" i="20"/>
  <c r="N89" i="20"/>
  <c r="N90" i="20"/>
  <c r="N92" i="20"/>
  <c r="N94" i="20"/>
  <c r="N96" i="20"/>
  <c r="N98" i="20"/>
  <c r="N100" i="20"/>
  <c r="N102" i="20"/>
  <c r="N104" i="20"/>
  <c r="N106" i="20"/>
  <c r="N107" i="20"/>
  <c r="N108" i="20"/>
  <c r="N110" i="20"/>
  <c r="N112" i="20"/>
  <c r="N114" i="20"/>
  <c r="N116" i="20"/>
  <c r="N118" i="20"/>
  <c r="N120" i="20"/>
  <c r="N122" i="20"/>
  <c r="N123" i="20"/>
  <c r="N124" i="20"/>
  <c r="N126" i="20"/>
  <c r="N128" i="20"/>
  <c r="N130" i="20"/>
  <c r="N131" i="20"/>
  <c r="N132" i="20"/>
  <c r="N134" i="20"/>
  <c r="N136" i="20"/>
  <c r="N138" i="20"/>
  <c r="N139" i="20"/>
  <c r="N140" i="20"/>
  <c r="N142" i="20"/>
  <c r="N144" i="20"/>
  <c r="N146" i="20"/>
  <c r="N147" i="20"/>
  <c r="N148" i="20"/>
  <c r="N150" i="20"/>
  <c r="N152" i="20"/>
  <c r="N154" i="20"/>
  <c r="N155" i="20"/>
  <c r="N156" i="20"/>
  <c r="N158" i="20"/>
  <c r="N160" i="20"/>
  <c r="N162" i="20"/>
  <c r="N163" i="20"/>
  <c r="N164" i="20"/>
  <c r="N166" i="20"/>
  <c r="N168" i="20"/>
  <c r="N170" i="20"/>
  <c r="N171" i="20"/>
  <c r="N172" i="20"/>
  <c r="N173" i="20"/>
  <c r="N176" i="20"/>
  <c r="N178" i="20"/>
  <c r="N179" i="20"/>
  <c r="N180" i="20"/>
  <c r="N182" i="20"/>
  <c r="N184" i="20"/>
  <c r="N186" i="20"/>
  <c r="N188" i="20"/>
  <c r="N190" i="20"/>
  <c r="N192" i="20"/>
  <c r="N193" i="20"/>
  <c r="N196" i="20"/>
  <c r="N198" i="20"/>
  <c r="N201" i="20"/>
  <c r="N202" i="20"/>
  <c r="N204" i="20"/>
  <c r="N205" i="20"/>
  <c r="N206" i="20"/>
  <c r="N208" i="20"/>
  <c r="N209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/>
  <c r="O91" i="20" a="1"/>
  <c r="O91" i="20" s="1"/>
  <c r="O92" i="20" a="1"/>
  <c r="O92" i="20" s="1"/>
  <c r="O93" i="20" a="1"/>
  <c r="O93" i="20" s="1"/>
  <c r="O94" i="20" a="1"/>
  <c r="O94" i="20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H2" i="19"/>
  <c r="H3" i="19"/>
  <c r="H4" i="19"/>
  <c r="H5" i="19"/>
  <c r="H6" i="19"/>
  <c r="H7" i="19"/>
  <c r="H8" i="19"/>
  <c r="H9" i="19"/>
  <c r="J9" i="19" s="1" a="1"/>
  <c r="J9" i="19" s="1"/>
  <c r="H10" i="19"/>
  <c r="H11" i="19"/>
  <c r="H12" i="19"/>
  <c r="H13" i="19"/>
  <c r="J13" i="19" s="1" a="1"/>
  <c r="J13" i="19" s="1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J29" i="19" s="1" a="1"/>
  <c r="J29" i="19" s="1"/>
  <c r="H30" i="19"/>
  <c r="H31" i="19"/>
  <c r="H32" i="19"/>
  <c r="H33" i="19"/>
  <c r="H34" i="19"/>
  <c r="H35" i="19"/>
  <c r="H36" i="19"/>
  <c r="H37" i="19"/>
  <c r="H38" i="19"/>
  <c r="H39" i="19"/>
  <c r="H40" i="19"/>
  <c r="H41" i="19"/>
  <c r="J41" i="19" s="1" a="1"/>
  <c r="J41" i="19" s="1"/>
  <c r="H42" i="19"/>
  <c r="H43" i="19"/>
  <c r="H44" i="19"/>
  <c r="H45" i="19"/>
  <c r="J45" i="19" s="1" a="1"/>
  <c r="J45" i="19" s="1"/>
  <c r="H46" i="19"/>
  <c r="H47" i="19"/>
  <c r="H48" i="19"/>
  <c r="H49" i="19"/>
  <c r="H50" i="19"/>
  <c r="H51" i="19"/>
  <c r="H52" i="19"/>
  <c r="H53" i="19"/>
  <c r="N53" i="19" s="1" a="1"/>
  <c r="N53" i="19" s="1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K69" i="19" s="1" a="1"/>
  <c r="K69" i="19" s="1"/>
  <c r="H70" i="19"/>
  <c r="H71" i="19"/>
  <c r="H72" i="19"/>
  <c r="H73" i="19"/>
  <c r="N73" i="19" s="1" a="1"/>
  <c r="N73" i="19" s="1"/>
  <c r="H74" i="19"/>
  <c r="H75" i="19"/>
  <c r="H76" i="19"/>
  <c r="H77" i="19"/>
  <c r="N77" i="19" s="1" a="1"/>
  <c r="N77" i="19" s="1"/>
  <c r="H78" i="19"/>
  <c r="H79" i="19"/>
  <c r="H80" i="19"/>
  <c r="H81" i="19"/>
  <c r="K81" i="19" s="1" a="1"/>
  <c r="K81" i="19" s="1"/>
  <c r="H82" i="19"/>
  <c r="H83" i="19"/>
  <c r="H84" i="19"/>
  <c r="H85" i="19"/>
  <c r="H86" i="19"/>
  <c r="H87" i="19"/>
  <c r="H88" i="19"/>
  <c r="H89" i="19"/>
  <c r="N89" i="19" s="1" a="1"/>
  <c r="N89" i="19" s="1"/>
  <c r="H90" i="19"/>
  <c r="H91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M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J17" i="19" a="1"/>
  <c r="J17" i="19" s="1"/>
  <c r="J33" i="19" a="1"/>
  <c r="J33" i="19" s="1"/>
  <c r="J49" i="19" a="1"/>
  <c r="J49" i="19" s="1"/>
  <c r="J63" i="19" a="1"/>
  <c r="J63" i="19" s="1"/>
  <c r="J91" i="19" a="1"/>
  <c r="J91" i="19" s="1"/>
  <c r="K15" i="19" a="1"/>
  <c r="K15" i="19" s="1"/>
  <c r="K30" i="19" a="1"/>
  <c r="K30" i="19" s="1"/>
  <c r="M30" i="19" s="1"/>
  <c r="K44" i="19" a="1"/>
  <c r="K44" i="19" s="1"/>
  <c r="M44" i="19" s="1"/>
  <c r="K58" i="19" a="1"/>
  <c r="K58" i="19" s="1"/>
  <c r="K72" i="19" a="1"/>
  <c r="K72" i="19" s="1"/>
  <c r="L2" i="19" a="1"/>
  <c r="L2" i="19" s="1"/>
  <c r="L3" i="19" a="1"/>
  <c r="L3" i="19" s="1"/>
  <c r="L4" i="19" a="1"/>
  <c r="L4" i="19" s="1"/>
  <c r="L5" i="19" a="1"/>
  <c r="L5" i="19" s="1"/>
  <c r="L6" i="19" a="1"/>
  <c r="L6" i="19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/>
  <c r="L55" i="19" a="1"/>
  <c r="L55" i="19" s="1"/>
  <c r="L56" i="19" a="1"/>
  <c r="L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L62" i="19" a="1"/>
  <c r="L62" i="19"/>
  <c r="L63" i="19" a="1"/>
  <c r="L63" i="19" s="1"/>
  <c r="L64" i="19" a="1"/>
  <c r="L64" i="19" s="1"/>
  <c r="L65" i="19" a="1"/>
  <c r="L65" i="19" s="1"/>
  <c r="L66" i="19" a="1"/>
  <c r="L66" i="19" s="1"/>
  <c r="L67" i="19" a="1"/>
  <c r="L67" i="19" s="1"/>
  <c r="L68" i="19" a="1"/>
  <c r="L68" i="19" s="1"/>
  <c r="L69" i="19" a="1"/>
  <c r="L69" i="19" s="1"/>
  <c r="L70" i="19" a="1"/>
  <c r="L70" i="19" s="1"/>
  <c r="L71" i="19" a="1"/>
  <c r="L71" i="19" s="1"/>
  <c r="L72" i="19" a="1"/>
  <c r="L72" i="19" s="1"/>
  <c r="M72" i="19" s="1"/>
  <c r="L73" i="19" a="1"/>
  <c r="L73" i="19" s="1"/>
  <c r="L74" i="19" a="1"/>
  <c r="L74" i="19" s="1"/>
  <c r="L75" i="19" a="1"/>
  <c r="L75" i="19" s="1"/>
  <c r="L76" i="19" a="1"/>
  <c r="L76" i="19" s="1"/>
  <c r="L77" i="19" a="1"/>
  <c r="L77" i="19" s="1"/>
  <c r="L78" i="19" a="1"/>
  <c r="L78" i="19" s="1"/>
  <c r="L79" i="19" a="1"/>
  <c r="L79" i="19" s="1"/>
  <c r="L80" i="19" a="1"/>
  <c r="L80" i="19" s="1"/>
  <c r="L81" i="19" a="1"/>
  <c r="L81" i="19" s="1"/>
  <c r="L82" i="19" a="1"/>
  <c r="L82" i="19" s="1"/>
  <c r="L83" i="19" a="1"/>
  <c r="L83" i="19" s="1"/>
  <c r="L84" i="19" a="1"/>
  <c r="L84" i="19" s="1"/>
  <c r="L85" i="19" a="1"/>
  <c r="L85" i="19" s="1"/>
  <c r="L86" i="19" a="1"/>
  <c r="L86" i="19" s="1"/>
  <c r="L87" i="19" a="1"/>
  <c r="L87" i="19" s="1"/>
  <c r="L88" i="19" a="1"/>
  <c r="L88" i="19" s="1"/>
  <c r="L89" i="19" a="1"/>
  <c r="L89" i="19" s="1"/>
  <c r="L90" i="19" a="1"/>
  <c r="L90" i="19" s="1"/>
  <c r="L91" i="19" a="1"/>
  <c r="L91" i="19" s="1"/>
  <c r="N5" i="19" a="1"/>
  <c r="N5" i="19" s="1"/>
  <c r="N9" i="19" a="1"/>
  <c r="N9" i="19" s="1"/>
  <c r="N16" i="19" a="1"/>
  <c r="N16" i="19" s="1"/>
  <c r="N24" i="19" a="1"/>
  <c r="N24" i="19" s="1"/>
  <c r="N32" i="19" a="1"/>
  <c r="N32" i="19" s="1"/>
  <c r="N40" i="19" a="1"/>
  <c r="N40" i="19" s="1"/>
  <c r="N48" i="19" a="1"/>
  <c r="N48" i="19" s="1"/>
  <c r="N54" i="19" a="1"/>
  <c r="N54" i="19" s="1"/>
  <c r="N59" i="19" a="1"/>
  <c r="N59" i="19" s="1"/>
  <c r="N63" i="19" a="1"/>
  <c r="N63" i="19" s="1"/>
  <c r="N67" i="19" a="1"/>
  <c r="N67" i="19" s="1"/>
  <c r="N71" i="19" a="1"/>
  <c r="N71" i="19" s="1"/>
  <c r="N75" i="19" a="1"/>
  <c r="N75" i="19" s="1"/>
  <c r="N79" i="19" a="1"/>
  <c r="N79" i="19" s="1"/>
  <c r="N83" i="19" a="1"/>
  <c r="N83" i="19" s="1"/>
  <c r="N87" i="19" a="1"/>
  <c r="N87" i="19" s="1"/>
  <c r="N91" i="19" a="1"/>
  <c r="N91" i="19" s="1"/>
  <c r="O5" i="19" a="1"/>
  <c r="O5" i="19" s="1"/>
  <c r="O9" i="19" a="1"/>
  <c r="O9" i="19" s="1"/>
  <c r="O13" i="19" a="1"/>
  <c r="O13" i="19" s="1"/>
  <c r="O17" i="19" a="1"/>
  <c r="O17" i="19" s="1"/>
  <c r="O21" i="19" a="1"/>
  <c r="O21" i="19" s="1"/>
  <c r="O25" i="19" a="1"/>
  <c r="O25" i="19" s="1"/>
  <c r="O29" i="19" a="1"/>
  <c r="O29" i="19" s="1"/>
  <c r="O33" i="19" a="1"/>
  <c r="O33" i="19" s="1"/>
  <c r="O37" i="19" a="1"/>
  <c r="O37" i="19" s="1"/>
  <c r="O41" i="19" a="1"/>
  <c r="O41" i="19" s="1"/>
  <c r="O45" i="19" a="1"/>
  <c r="O45" i="19" s="1"/>
  <c r="O49" i="19" a="1"/>
  <c r="O49" i="19" s="1"/>
  <c r="O53" i="19" a="1"/>
  <c r="O53" i="19" s="1"/>
  <c r="O57" i="19" a="1"/>
  <c r="O57" i="19" s="1"/>
  <c r="O61" i="19" a="1"/>
  <c r="O61" i="19" s="1"/>
  <c r="O65" i="19" a="1"/>
  <c r="O65" i="19" s="1"/>
  <c r="O69" i="19" a="1"/>
  <c r="O69" i="19" s="1"/>
  <c r="O73" i="19" a="1"/>
  <c r="O73" i="19" s="1"/>
  <c r="O77" i="19" a="1"/>
  <c r="O77" i="19" s="1"/>
  <c r="O81" i="19" a="1"/>
  <c r="O81" i="19" s="1"/>
  <c r="O85" i="19" a="1"/>
  <c r="O85" i="19" s="1"/>
  <c r="O89" i="19" a="1"/>
  <c r="O89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N2" i="18" a="1"/>
  <c r="N2" i="18" s="1"/>
  <c r="N3" i="18" a="1"/>
  <c r="N3" i="18" s="1"/>
  <c r="N4" i="18" a="1"/>
  <c r="N4" i="18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/>
  <c r="N23" i="18" a="1"/>
  <c r="N23" i="18" s="1"/>
  <c r="N24" i="18" a="1"/>
  <c r="N24" i="18" s="1"/>
  <c r="N25" i="18" a="1"/>
  <c r="N25" i="18" s="1"/>
  <c r="N26" i="18" a="1"/>
  <c r="N26" i="18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/>
  <c r="N35" i="18" a="1"/>
  <c r="N35" i="18" s="1"/>
  <c r="N36" i="18" a="1"/>
  <c r="N36" i="18" s="1"/>
  <c r="N37" i="18" a="1"/>
  <c r="N37" i="18" s="1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R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/>
  <c r="N85" i="18" a="1"/>
  <c r="N85" i="18" s="1"/>
  <c r="N86" i="18" a="1"/>
  <c r="N86" i="18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/>
  <c r="N131" i="18" a="1"/>
  <c r="N131" i="18" s="1"/>
  <c r="N132" i="18" a="1"/>
  <c r="N132" i="18" s="1"/>
  <c r="R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/>
  <c r="N141" i="18" a="1"/>
  <c r="N141" i="18" s="1"/>
  <c r="N142" i="18" a="1"/>
  <c r="N142" i="18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/>
  <c r="N157" i="18" a="1"/>
  <c r="N157" i="18" s="1"/>
  <c r="N158" i="18" a="1"/>
  <c r="N158" i="18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/>
  <c r="N175" i="18" a="1"/>
  <c r="N175" i="18" s="1"/>
  <c r="N176" i="18" a="1"/>
  <c r="N176" i="18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/>
  <c r="N241" i="18" a="1"/>
  <c r="N241" i="18" s="1"/>
  <c r="N242" i="18" a="1"/>
  <c r="N242" i="18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/>
  <c r="N257" i="18" a="1"/>
  <c r="N257" i="18" s="1"/>
  <c r="N258" i="18" a="1"/>
  <c r="N258" i="18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/>
  <c r="O9" i="18" a="1"/>
  <c r="O9" i="18" s="1"/>
  <c r="O10" i="18" a="1"/>
  <c r="O10" i="18" s="1"/>
  <c r="O11" i="18" a="1"/>
  <c r="O11" i="18" s="1"/>
  <c r="O12" i="18" a="1"/>
  <c r="O12" i="18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/>
  <c r="O195" i="18" a="1"/>
  <c r="O195" i="18" s="1"/>
  <c r="O196" i="18" a="1"/>
  <c r="O196" i="18" s="1"/>
  <c r="O197" i="18" a="1"/>
  <c r="O197" i="18" s="1"/>
  <c r="O198" i="18" a="1"/>
  <c r="O198" i="18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/>
  <c r="O211" i="18" a="1"/>
  <c r="O211" i="18" s="1"/>
  <c r="O212" i="18" a="1"/>
  <c r="O212" i="18" s="1"/>
  <c r="O213" i="18" a="1"/>
  <c r="O213" i="18" s="1"/>
  <c r="O214" i="18" a="1"/>
  <c r="O214" i="18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/>
  <c r="O261" i="18" a="1"/>
  <c r="O261" i="18" s="1"/>
  <c r="O262" i="18" a="1"/>
  <c r="O262" i="18"/>
  <c r="O263" i="18" a="1"/>
  <c r="O263" i="18" s="1"/>
  <c r="O264" i="18" a="1"/>
  <c r="O264" i="18" s="1"/>
  <c r="O265" i="18" a="1"/>
  <c r="O265" i="18" s="1"/>
  <c r="O266" i="18" a="1"/>
  <c r="O266" i="18"/>
  <c r="O267" i="18" a="1"/>
  <c r="O267" i="18" s="1"/>
  <c r="O268" i="18" a="1"/>
  <c r="O268" i="18"/>
  <c r="O269" i="18" a="1"/>
  <c r="O269" i="18" s="1"/>
  <c r="O270" i="18" a="1"/>
  <c r="O270" i="18" s="1"/>
  <c r="O271" i="18" a="1"/>
  <c r="O271" i="18" s="1"/>
  <c r="P2" i="18" a="1"/>
  <c r="P2" i="18" s="1"/>
  <c r="P3" i="18" a="1"/>
  <c r="P3" i="18" s="1"/>
  <c r="P4" i="18" a="1"/>
  <c r="P4" i="18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R12" i="18" s="1"/>
  <c r="P13" i="18" a="1"/>
  <c r="P13" i="18" s="1"/>
  <c r="P14" i="18" a="1"/>
  <c r="P14" i="18" s="1"/>
  <c r="P15" i="18" a="1"/>
  <c r="P15" i="18" s="1"/>
  <c r="P16" i="18" a="1"/>
  <c r="P16" i="18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/>
  <c r="P57" i="18" a="1"/>
  <c r="P57" i="18" s="1"/>
  <c r="P58" i="18" a="1"/>
  <c r="P58" i="18" s="1"/>
  <c r="P59" i="18" a="1"/>
  <c r="P59" i="18" s="1"/>
  <c r="P60" i="18" a="1"/>
  <c r="P60" i="18" s="1"/>
  <c r="R60" i="18" s="1"/>
  <c r="P61" i="18" a="1"/>
  <c r="P61" i="18" s="1"/>
  <c r="P62" i="18" a="1"/>
  <c r="P62" i="18"/>
  <c r="P63" i="18" a="1"/>
  <c r="P63" i="18" s="1"/>
  <c r="P64" i="18" a="1"/>
  <c r="P64" i="18"/>
  <c r="P65" i="18" a="1"/>
  <c r="P65" i="18" s="1"/>
  <c r="P66" i="18" a="1"/>
  <c r="P66" i="18" s="1"/>
  <c r="P67" i="18" a="1"/>
  <c r="P67" i="18" s="1"/>
  <c r="P68" i="18" a="1"/>
  <c r="P68" i="18"/>
  <c r="P69" i="18" a="1"/>
  <c r="P69" i="18" s="1"/>
  <c r="P70" i="18" a="1"/>
  <c r="P70" i="18"/>
  <c r="P71" i="18" a="1"/>
  <c r="P71" i="18" s="1"/>
  <c r="P72" i="18" a="1"/>
  <c r="P72" i="18"/>
  <c r="P73" i="18" a="1"/>
  <c r="P73" i="18" s="1"/>
  <c r="P74" i="18" a="1"/>
  <c r="P74" i="18" s="1"/>
  <c r="P75" i="18" a="1"/>
  <c r="P75" i="18" s="1"/>
  <c r="P76" i="18" a="1"/>
  <c r="P76" i="18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/>
  <c r="P101" i="18" a="1"/>
  <c r="P101" i="18" s="1"/>
  <c r="P102" i="18" a="1"/>
  <c r="P102" i="18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/>
  <c r="P117" i="18" a="1"/>
  <c r="P117" i="18" s="1"/>
  <c r="P118" i="18" a="1"/>
  <c r="P118" i="18" s="1"/>
  <c r="R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/>
  <c r="P135" i="18" a="1"/>
  <c r="P135" i="18" s="1"/>
  <c r="P136" i="18" a="1"/>
  <c r="P136" i="18"/>
  <c r="P137" i="18" a="1"/>
  <c r="P137" i="18" s="1"/>
  <c r="P138" i="18" a="1"/>
  <c r="P138" i="18" s="1"/>
  <c r="P139" i="18" a="1"/>
  <c r="P139" i="18" s="1"/>
  <c r="P140" i="18" a="1"/>
  <c r="P140" i="18"/>
  <c r="P141" i="18" a="1"/>
  <c r="P141" i="18" s="1"/>
  <c r="P142" i="18" a="1"/>
  <c r="P142" i="18"/>
  <c r="P143" i="18" a="1"/>
  <c r="P143" i="18" s="1"/>
  <c r="P144" i="18" a="1"/>
  <c r="P144" i="18"/>
  <c r="P145" i="18" a="1"/>
  <c r="P145" i="18" s="1"/>
  <c r="P146" i="18" a="1"/>
  <c r="P146" i="18" s="1"/>
  <c r="P147" i="18" a="1"/>
  <c r="P147" i="18" s="1"/>
  <c r="P148" i="18" a="1"/>
  <c r="P148" i="18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/>
  <c r="P157" i="18" a="1"/>
  <c r="P157" i="18" s="1"/>
  <c r="P158" i="18" a="1"/>
  <c r="P158" i="18" s="1"/>
  <c r="P159" i="18" a="1"/>
  <c r="P159" i="18" s="1"/>
  <c r="P160" i="18" a="1"/>
  <c r="P160" i="18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/>
  <c r="P173" i="18" a="1"/>
  <c r="P173" i="18" s="1"/>
  <c r="P174" i="18" a="1"/>
  <c r="P174" i="18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/>
  <c r="P197" i="18" a="1"/>
  <c r="P197" i="18" s="1"/>
  <c r="P198" i="18" a="1"/>
  <c r="P198" i="18" s="1"/>
  <c r="P199" i="18" a="1"/>
  <c r="P199" i="18" s="1"/>
  <c r="P200" i="18" a="1"/>
  <c r="P200" i="18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/>
  <c r="P213" i="18" a="1"/>
  <c r="P213" i="18" s="1"/>
  <c r="P214" i="18" a="1"/>
  <c r="P214" i="18" s="1"/>
  <c r="P215" i="18" a="1"/>
  <c r="P215" i="18" s="1"/>
  <c r="P216" i="18" a="1"/>
  <c r="P216" i="18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/>
  <c r="P229" i="18" a="1"/>
  <c r="P229" i="18" s="1"/>
  <c r="P230" i="18" a="1"/>
  <c r="P230" i="18" s="1"/>
  <c r="P231" i="18" a="1"/>
  <c r="P231" i="18" s="1"/>
  <c r="P232" i="18" a="1"/>
  <c r="P232" i="18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/>
  <c r="P260" i="18" a="1"/>
  <c r="P260" i="18" s="1"/>
  <c r="P261" i="18" a="1"/>
  <c r="P261" i="18" s="1"/>
  <c r="P262" i="18" a="1"/>
  <c r="P262" i="18" s="1"/>
  <c r="P263" i="18" a="1"/>
  <c r="P263" i="18"/>
  <c r="P264" i="18" a="1"/>
  <c r="P264" i="18" s="1"/>
  <c r="P265" i="18" a="1"/>
  <c r="P265" i="18" s="1"/>
  <c r="P266" i="18" a="1"/>
  <c r="P266" i="18" s="1"/>
  <c r="P267" i="18" a="1"/>
  <c r="P267" i="18" s="1"/>
  <c r="P268" i="18" a="1"/>
  <c r="P268" i="18" s="1"/>
  <c r="P269" i="18" a="1"/>
  <c r="P269" i="18"/>
  <c r="P270" i="18" a="1"/>
  <c r="P270" i="18" s="1"/>
  <c r="P271" i="18" a="1"/>
  <c r="P271" i="18"/>
  <c r="Q2" i="18" a="1"/>
  <c r="Q2" i="18" s="1"/>
  <c r="Q3" i="18" a="1"/>
  <c r="Q3" i="18" s="1"/>
  <c r="R3" i="18" s="1"/>
  <c r="Q4" i="18" a="1"/>
  <c r="Q4" i="18" s="1"/>
  <c r="Q5" i="18" a="1"/>
  <c r="Q5" i="18" s="1"/>
  <c r="Q6" i="18" a="1"/>
  <c r="Q6" i="18" s="1"/>
  <c r="R6" i="18" s="1"/>
  <c r="Q7" i="18" a="1"/>
  <c r="Q7" i="18"/>
  <c r="R7" i="18" s="1"/>
  <c r="Q8" i="18" a="1"/>
  <c r="Q8" i="18" s="1"/>
  <c r="Q9" i="18" a="1"/>
  <c r="Q9" i="18" s="1"/>
  <c r="Q10" i="18" a="1"/>
  <c r="Q10" i="18" s="1"/>
  <c r="Q11" i="18" a="1"/>
  <c r="Q11" i="18" s="1"/>
  <c r="R11" i="18" s="1"/>
  <c r="U11" i="18" s="1"/>
  <c r="Q12" i="18" a="1"/>
  <c r="Q12" i="18" s="1"/>
  <c r="Q13" i="18" a="1"/>
  <c r="Q13" i="18" s="1"/>
  <c r="Q14" i="18" a="1"/>
  <c r="Q14" i="18" s="1"/>
  <c r="Q15" i="18" a="1"/>
  <c r="Q15" i="18" s="1"/>
  <c r="R15" i="18" s="1"/>
  <c r="Q16" i="18" a="1"/>
  <c r="Q16" i="18" s="1"/>
  <c r="Q17" i="18" a="1"/>
  <c r="Q17" i="18" s="1"/>
  <c r="R17" i="18" s="1"/>
  <c r="U17" i="18" s="1"/>
  <c r="Q18" i="18" a="1"/>
  <c r="Q18" i="18" s="1"/>
  <c r="Q19" i="18" a="1"/>
  <c r="Q19" i="18"/>
  <c r="R19" i="18" s="1"/>
  <c r="Q20" i="18" a="1"/>
  <c r="Q20" i="18" s="1"/>
  <c r="Q21" i="18" a="1"/>
  <c r="Q21" i="18" s="1"/>
  <c r="Q22" i="18" a="1"/>
  <c r="Q22" i="18" s="1"/>
  <c r="R22" i="18" s="1"/>
  <c r="Q23" i="18" a="1"/>
  <c r="Q23" i="18" s="1"/>
  <c r="R23" i="18" s="1"/>
  <c r="U23" i="18" s="1"/>
  <c r="Q24" i="18" a="1"/>
  <c r="Q24" i="18" s="1"/>
  <c r="Q25" i="18" a="1"/>
  <c r="Q25" i="18"/>
  <c r="Q26" i="18" a="1"/>
  <c r="Q26" i="18" s="1"/>
  <c r="Q27" i="18" a="1"/>
  <c r="Q27" i="18"/>
  <c r="R27" i="18" s="1"/>
  <c r="Q28" i="18" a="1"/>
  <c r="Q28" i="18" s="1"/>
  <c r="R28" i="18" s="1"/>
  <c r="Q29" i="18" a="1"/>
  <c r="Q29" i="18" s="1"/>
  <c r="Q30" i="18" a="1"/>
  <c r="Q30" i="18" s="1"/>
  <c r="Q31" i="18" a="1"/>
  <c r="Q31" i="18" s="1"/>
  <c r="R31" i="18" s="1"/>
  <c r="Q32" i="18" a="1"/>
  <c r="Q32" i="18" s="1"/>
  <c r="Q33" i="18" a="1"/>
  <c r="Q33" i="18" s="1"/>
  <c r="R33" i="18" s="1"/>
  <c r="Q34" i="18" a="1"/>
  <c r="Q34" i="18" s="1"/>
  <c r="Q35" i="18" a="1"/>
  <c r="Q35" i="18"/>
  <c r="R35" i="18" s="1"/>
  <c r="Q36" i="18" a="1"/>
  <c r="Q36" i="18" s="1"/>
  <c r="Q37" i="18" a="1"/>
  <c r="Q37" i="18" s="1"/>
  <c r="Q38" i="18" a="1"/>
  <c r="Q38" i="18" s="1"/>
  <c r="R38" i="18" s="1"/>
  <c r="Q39" i="18" a="1"/>
  <c r="Q39" i="18" s="1"/>
  <c r="R39" i="18" s="1"/>
  <c r="Q40" i="18" a="1"/>
  <c r="Q40" i="18" s="1"/>
  <c r="Q41" i="18" a="1"/>
  <c r="Q41" i="18" s="1"/>
  <c r="R41" i="18" s="1"/>
  <c r="U41" i="18" s="1"/>
  <c r="Q42" i="18" a="1"/>
  <c r="Q42" i="18" s="1"/>
  <c r="Q43" i="18" a="1"/>
  <c r="Q43" i="18"/>
  <c r="R43" i="18" s="1"/>
  <c r="Q44" i="18" a="1"/>
  <c r="Q44" i="18" s="1"/>
  <c r="R44" i="18" s="1"/>
  <c r="Q45" i="18" a="1"/>
  <c r="Q45" i="18" s="1"/>
  <c r="Q46" i="18" a="1"/>
  <c r="Q46" i="18" s="1"/>
  <c r="Q47" i="18" a="1"/>
  <c r="Q47" i="18" s="1"/>
  <c r="R47" i="18" s="1"/>
  <c r="U47" i="18" s="1"/>
  <c r="Q48" i="18" a="1"/>
  <c r="Q48" i="18" s="1"/>
  <c r="Q49" i="18" a="1"/>
  <c r="Q49" i="18"/>
  <c r="R49" i="18" s="1"/>
  <c r="Q50" i="18" a="1"/>
  <c r="Q50" i="18" s="1"/>
  <c r="Q51" i="18" a="1"/>
  <c r="Q51" i="18" s="1"/>
  <c r="R51" i="18" s="1"/>
  <c r="Q52" i="18" a="1"/>
  <c r="Q52" i="18" s="1"/>
  <c r="Q53" i="18" a="1"/>
  <c r="Q53" i="18" s="1"/>
  <c r="Q54" i="18" a="1"/>
  <c r="Q54" i="18" s="1"/>
  <c r="Q55" i="18" a="1"/>
  <c r="Q55" i="18"/>
  <c r="R55" i="18" s="1"/>
  <c r="Q56" i="18" a="1"/>
  <c r="Q56" i="18" s="1"/>
  <c r="Q57" i="18" a="1"/>
  <c r="Q57" i="18" s="1"/>
  <c r="Q58" i="18" a="1"/>
  <c r="Q58" i="18" s="1"/>
  <c r="Q59" i="18" a="1"/>
  <c r="Q59" i="18" s="1"/>
  <c r="R59" i="18" s="1"/>
  <c r="U59" i="18" s="1"/>
  <c r="Q60" i="18" a="1"/>
  <c r="Q60" i="18" s="1"/>
  <c r="Q61" i="18" a="1"/>
  <c r="Q61" i="18" s="1"/>
  <c r="Q62" i="18" a="1"/>
  <c r="Q62" i="18" s="1"/>
  <c r="Q63" i="18" a="1"/>
  <c r="Q63" i="18" s="1"/>
  <c r="R63" i="18" s="1"/>
  <c r="Q64" i="18" a="1"/>
  <c r="Q64" i="18" s="1"/>
  <c r="Q65" i="18" a="1"/>
  <c r="Q65" i="18" s="1"/>
  <c r="R65" i="18" s="1"/>
  <c r="U65" i="18" s="1"/>
  <c r="Q66" i="18" a="1"/>
  <c r="Q66" i="18" s="1"/>
  <c r="Q67" i="18" a="1"/>
  <c r="Q67" i="18"/>
  <c r="R67" i="18" s="1"/>
  <c r="Q68" i="18" a="1"/>
  <c r="Q68" i="18" s="1"/>
  <c r="Q69" i="18" a="1"/>
  <c r="Q69" i="18" s="1"/>
  <c r="Q70" i="18" a="1"/>
  <c r="Q70" i="18" s="1"/>
  <c r="Q71" i="18" a="1"/>
  <c r="Q71" i="18" s="1"/>
  <c r="R71" i="18" s="1"/>
  <c r="Q72" i="18" a="1"/>
  <c r="Q72" i="18" s="1"/>
  <c r="Q73" i="18" a="1"/>
  <c r="Q73" i="18" s="1"/>
  <c r="Q74" i="18" a="1"/>
  <c r="Q74" i="18" s="1"/>
  <c r="Q75" i="18" a="1"/>
  <c r="Q75" i="18" s="1"/>
  <c r="R75" i="18" s="1"/>
  <c r="U75" i="18" s="1"/>
  <c r="Q76" i="18" a="1"/>
  <c r="Q76" i="18" s="1"/>
  <c r="Q77" i="18" a="1"/>
  <c r="Q77" i="18" s="1"/>
  <c r="R77" i="18" s="1"/>
  <c r="Q78" i="18" a="1"/>
  <c r="Q78" i="18" s="1"/>
  <c r="Q79" i="18" a="1"/>
  <c r="Q79" i="18" s="1"/>
  <c r="R79" i="18" s="1"/>
  <c r="Q80" i="18" a="1"/>
  <c r="Q80" i="18" s="1"/>
  <c r="Q81" i="18" a="1"/>
  <c r="Q81" i="18"/>
  <c r="Q82" i="18" a="1"/>
  <c r="Q82" i="18" s="1"/>
  <c r="R82" i="18" s="1"/>
  <c r="Q83" i="18" a="1"/>
  <c r="Q83" i="18"/>
  <c r="R83" i="18" s="1"/>
  <c r="Q84" i="18" a="1"/>
  <c r="Q84" i="18" s="1"/>
  <c r="Q85" i="18" a="1"/>
  <c r="Q85" i="18" s="1"/>
  <c r="R85" i="18" s="1"/>
  <c r="Q86" i="18" a="1"/>
  <c r="Q86" i="18" s="1"/>
  <c r="Q87" i="18" a="1"/>
  <c r="Q87" i="18" s="1"/>
  <c r="R87" i="18" s="1"/>
  <c r="Q88" i="18" a="1"/>
  <c r="Q88" i="18" s="1"/>
  <c r="Q89" i="18" a="1"/>
  <c r="Q89" i="18" s="1"/>
  <c r="R89" i="18" s="1"/>
  <c r="Q90" i="18" a="1"/>
  <c r="Q90" i="18" s="1"/>
  <c r="Q91" i="18" a="1"/>
  <c r="Q91" i="18"/>
  <c r="R91" i="18" s="1"/>
  <c r="Q92" i="18" a="1"/>
  <c r="Q92" i="18" s="1"/>
  <c r="Q93" i="18" a="1"/>
  <c r="Q93" i="18" s="1"/>
  <c r="R93" i="18" s="1"/>
  <c r="Q94" i="18" a="1"/>
  <c r="Q94" i="18" s="1"/>
  <c r="Q95" i="18" a="1"/>
  <c r="Q95" i="18" s="1"/>
  <c r="R95" i="18" s="1"/>
  <c r="Q96" i="18" a="1"/>
  <c r="Q96" i="18" s="1"/>
  <c r="R96" i="18" s="1"/>
  <c r="Q97" i="18" a="1"/>
  <c r="Q97" i="18" s="1"/>
  <c r="R97" i="18" s="1"/>
  <c r="Q98" i="18" a="1"/>
  <c r="Q98" i="18" s="1"/>
  <c r="Q99" i="18" a="1"/>
  <c r="Q99" i="18" s="1"/>
  <c r="R99" i="18" s="1"/>
  <c r="U99" i="18" s="1"/>
  <c r="Q100" i="18" a="1"/>
  <c r="Q100" i="18" s="1"/>
  <c r="Q101" i="18" a="1"/>
  <c r="Q101" i="18" s="1"/>
  <c r="R101" i="18" s="1"/>
  <c r="Q102" i="18" a="1"/>
  <c r="Q102" i="18" s="1"/>
  <c r="Q103" i="18" a="1"/>
  <c r="Q103" i="18" s="1"/>
  <c r="R103" i="18" s="1"/>
  <c r="Q104" i="18" a="1"/>
  <c r="Q104" i="18" s="1"/>
  <c r="Q105" i="18" a="1"/>
  <c r="Q105" i="18" s="1"/>
  <c r="Q106" i="18" a="1"/>
  <c r="Q106" i="18" s="1"/>
  <c r="Q107" i="18" a="1"/>
  <c r="Q107" i="18" s="1"/>
  <c r="R107" i="18" s="1"/>
  <c r="Q108" i="18" a="1"/>
  <c r="Q108" i="18" s="1"/>
  <c r="Q109" i="18" a="1"/>
  <c r="Q109" i="18" s="1"/>
  <c r="R109" i="18" s="1"/>
  <c r="Q110" i="18" a="1"/>
  <c r="Q110" i="18" s="1"/>
  <c r="Q111" i="18" a="1"/>
  <c r="Q111" i="18" s="1"/>
  <c r="R111" i="18" s="1"/>
  <c r="Q112" i="18" a="1"/>
  <c r="Q112" i="18" s="1"/>
  <c r="Q113" i="18" a="1"/>
  <c r="Q113" i="18" s="1"/>
  <c r="R113" i="18" s="1"/>
  <c r="Q114" i="18" a="1"/>
  <c r="Q114" i="18" s="1"/>
  <c r="Q115" i="18" a="1"/>
  <c r="Q115" i="18"/>
  <c r="R115" i="18" s="1"/>
  <c r="Q116" i="18" a="1"/>
  <c r="Q116" i="18" s="1"/>
  <c r="Q117" i="18" a="1"/>
  <c r="Q117" i="18" s="1"/>
  <c r="R117" i="18" s="1"/>
  <c r="Q118" i="18" a="1"/>
  <c r="Q118" i="18" s="1"/>
  <c r="Q119" i="18" a="1"/>
  <c r="Q119" i="18" s="1"/>
  <c r="R119" i="18" s="1"/>
  <c r="Q120" i="18" a="1"/>
  <c r="Q120" i="18" s="1"/>
  <c r="Q121" i="18" a="1"/>
  <c r="Q121" i="18" s="1"/>
  <c r="Q122" i="18" a="1"/>
  <c r="Q122" i="18" s="1"/>
  <c r="Q123" i="18" a="1"/>
  <c r="Q123" i="18" s="1"/>
  <c r="R123" i="18" s="1"/>
  <c r="U123" i="18" s="1"/>
  <c r="Q124" i="18" a="1"/>
  <c r="Q124" i="18" s="1"/>
  <c r="R124" i="18" s="1"/>
  <c r="Q125" i="18" a="1"/>
  <c r="Q125" i="18" s="1"/>
  <c r="R125" i="18" s="1"/>
  <c r="Q126" i="18" a="1"/>
  <c r="Q126" i="18" s="1"/>
  <c r="Q127" i="18" a="1"/>
  <c r="Q127" i="18" s="1"/>
  <c r="R127" i="18" s="1"/>
  <c r="Q128" i="18" a="1"/>
  <c r="Q128" i="18" s="1"/>
  <c r="Q129" i="18" a="1"/>
  <c r="Q129" i="18" s="1"/>
  <c r="R129" i="18" s="1"/>
  <c r="Q130" i="18" a="1"/>
  <c r="Q130" i="18" s="1"/>
  <c r="Q131" i="18" a="1"/>
  <c r="Q131" i="18"/>
  <c r="R131" i="18" s="1"/>
  <c r="Q132" i="18" a="1"/>
  <c r="Q132" i="18" s="1"/>
  <c r="Q133" i="18" a="1"/>
  <c r="Q133" i="18" s="1"/>
  <c r="R133" i="18" s="1"/>
  <c r="Q134" i="18" a="1"/>
  <c r="Q134" i="18" s="1"/>
  <c r="Q135" i="18" a="1"/>
  <c r="Q135" i="18" s="1"/>
  <c r="R135" i="18" s="1"/>
  <c r="Q136" i="18" a="1"/>
  <c r="Q136" i="18" s="1"/>
  <c r="Q137" i="18" a="1"/>
  <c r="Q137" i="18" s="1"/>
  <c r="Q138" i="18" a="1"/>
  <c r="Q138" i="18" s="1"/>
  <c r="R138" i="18" s="1"/>
  <c r="Q139" i="18" a="1"/>
  <c r="Q139" i="18" s="1"/>
  <c r="R139" i="18" s="1"/>
  <c r="Q140" i="18" a="1"/>
  <c r="Q140" i="18" s="1"/>
  <c r="Q141" i="18" a="1"/>
  <c r="Q141" i="18" s="1"/>
  <c r="R141" i="18" s="1"/>
  <c r="Q142" i="18" a="1"/>
  <c r="Q142" i="18" s="1"/>
  <c r="Q143" i="18" a="1"/>
  <c r="Q143" i="18" s="1"/>
  <c r="R143" i="18" s="1"/>
  <c r="Q144" i="18" a="1"/>
  <c r="Q144" i="18" s="1"/>
  <c r="Q145" i="18" a="1"/>
  <c r="Q145" i="18" s="1"/>
  <c r="R145" i="18" s="1"/>
  <c r="Q146" i="18" a="1"/>
  <c r="Q146" i="18" s="1"/>
  <c r="R146" i="18" s="1"/>
  <c r="Q147" i="18" a="1"/>
  <c r="Q147" i="18"/>
  <c r="R147" i="18" s="1"/>
  <c r="Q148" i="18" a="1"/>
  <c r="Q148" i="18" s="1"/>
  <c r="Q149" i="18" a="1"/>
  <c r="Q149" i="18" s="1"/>
  <c r="R149" i="18" s="1"/>
  <c r="Q150" i="18" a="1"/>
  <c r="Q150" i="18" s="1"/>
  <c r="Q151" i="18" a="1"/>
  <c r="Q151" i="18" s="1"/>
  <c r="R151" i="18" s="1"/>
  <c r="Q152" i="18" a="1"/>
  <c r="Q152" i="18" s="1"/>
  <c r="Q153" i="18" a="1"/>
  <c r="Q153" i="18" s="1"/>
  <c r="R153" i="18" s="1"/>
  <c r="Q154" i="18" a="1"/>
  <c r="Q154" i="18" s="1"/>
  <c r="Q155" i="18" a="1"/>
  <c r="Q155" i="18" s="1"/>
  <c r="R155" i="18" s="1"/>
  <c r="U155" i="18" s="1"/>
  <c r="Q156" i="18" a="1"/>
  <c r="Q156" i="18" s="1"/>
  <c r="Q157" i="18" a="1"/>
  <c r="Q157" i="18" s="1"/>
  <c r="R157" i="18" s="1"/>
  <c r="Q158" i="18" a="1"/>
  <c r="Q158" i="18" s="1"/>
  <c r="Q159" i="18" a="1"/>
  <c r="Q159" i="18" s="1"/>
  <c r="R159" i="18" s="1"/>
  <c r="Q160" i="18" a="1"/>
  <c r="Q160" i="18" s="1"/>
  <c r="Q161" i="18" a="1"/>
  <c r="Q161" i="18" s="1"/>
  <c r="R161" i="18" s="1"/>
  <c r="Q162" i="18" a="1"/>
  <c r="Q162" i="18" s="1"/>
  <c r="Q163" i="18" a="1"/>
  <c r="Q163" i="18"/>
  <c r="R163" i="18" s="1"/>
  <c r="Q164" i="18" a="1"/>
  <c r="Q164" i="18" s="1"/>
  <c r="Q165" i="18" a="1"/>
  <c r="Q165" i="18" s="1"/>
  <c r="R165" i="18" s="1"/>
  <c r="Q166" i="18" a="1"/>
  <c r="Q166" i="18" s="1"/>
  <c r="Q167" i="18" a="1"/>
  <c r="Q167" i="18" s="1"/>
  <c r="R167" i="18" s="1"/>
  <c r="Q168" i="18" a="1"/>
  <c r="Q168" i="18" s="1"/>
  <c r="Q169" i="18" a="1"/>
  <c r="Q169" i="18" s="1"/>
  <c r="Q170" i="18" a="1"/>
  <c r="Q170" i="18" s="1"/>
  <c r="Q171" i="18" a="1"/>
  <c r="Q171" i="18" s="1"/>
  <c r="R171" i="18" s="1"/>
  <c r="Q172" i="18" a="1"/>
  <c r="Q172" i="18" s="1"/>
  <c r="Q173" i="18" a="1"/>
  <c r="Q173" i="18" s="1"/>
  <c r="R173" i="18" s="1"/>
  <c r="Q174" i="18" a="1"/>
  <c r="Q174" i="18" s="1"/>
  <c r="Q175" i="18" a="1"/>
  <c r="Q175" i="18" s="1"/>
  <c r="R175" i="18" s="1"/>
  <c r="Q176" i="18" a="1"/>
  <c r="Q176" i="18" s="1"/>
  <c r="Q177" i="18" a="1"/>
  <c r="Q177" i="18" s="1"/>
  <c r="R177" i="18" s="1"/>
  <c r="Q178" i="18" a="1"/>
  <c r="Q178" i="18" s="1"/>
  <c r="Q179" i="18" a="1"/>
  <c r="Q179" i="18"/>
  <c r="R179" i="18" s="1"/>
  <c r="Q180" i="18" a="1"/>
  <c r="Q180" i="18" s="1"/>
  <c r="Q181" i="18" a="1"/>
  <c r="Q181" i="18" s="1"/>
  <c r="R181" i="18" s="1"/>
  <c r="Q182" i="18" a="1"/>
  <c r="Q182" i="18" s="1"/>
  <c r="Q183" i="18" a="1"/>
  <c r="Q183" i="18" s="1"/>
  <c r="R183" i="18" s="1"/>
  <c r="Q184" i="18" a="1"/>
  <c r="Q184" i="18" s="1"/>
  <c r="Q185" i="18" a="1"/>
  <c r="Q185" i="18" s="1"/>
  <c r="Q186" i="18" a="1"/>
  <c r="Q186" i="18" s="1"/>
  <c r="Q187" i="18" a="1"/>
  <c r="Q187" i="18" s="1"/>
  <c r="R187" i="18" s="1"/>
  <c r="U187" i="18" s="1"/>
  <c r="Q188" i="18" a="1"/>
  <c r="Q188" i="18" s="1"/>
  <c r="Q189" i="18" a="1"/>
  <c r="Q189" i="18" s="1"/>
  <c r="R189" i="18" s="1"/>
  <c r="Q190" i="18" a="1"/>
  <c r="Q190" i="18" s="1"/>
  <c r="Q191" i="18" a="1"/>
  <c r="Q191" i="18" s="1"/>
  <c r="R191" i="18" s="1"/>
  <c r="Q192" i="18" a="1"/>
  <c r="Q192" i="18" s="1"/>
  <c r="Q193" i="18" a="1"/>
  <c r="Q193" i="18" s="1"/>
  <c r="R193" i="18" s="1"/>
  <c r="Q194" i="18" a="1"/>
  <c r="Q194" i="18" s="1"/>
  <c r="Q195" i="18" a="1"/>
  <c r="Q195" i="18" s="1"/>
  <c r="R195" i="18" s="1"/>
  <c r="U195" i="18" s="1"/>
  <c r="Q196" i="18" a="1"/>
  <c r="Q196" i="18" s="1"/>
  <c r="Q197" i="18" a="1"/>
  <c r="Q197" i="18" s="1"/>
  <c r="R197" i="18" s="1"/>
  <c r="Q198" i="18" a="1"/>
  <c r="Q198" i="18" s="1"/>
  <c r="Q199" i="18" a="1"/>
  <c r="Q199" i="18" s="1"/>
  <c r="R199" i="18" s="1"/>
  <c r="Q200" i="18" a="1"/>
  <c r="Q200" i="18" s="1"/>
  <c r="Q201" i="18" a="1"/>
  <c r="Q201" i="18" s="1"/>
  <c r="Q202" i="18" a="1"/>
  <c r="Q202" i="18" s="1"/>
  <c r="Q203" i="18" a="1"/>
  <c r="Q203" i="18" s="1"/>
  <c r="R203" i="18" s="1"/>
  <c r="Q204" i="18" a="1"/>
  <c r="Q204" i="18" s="1"/>
  <c r="Q205" i="18" a="1"/>
  <c r="Q205" i="18" s="1"/>
  <c r="R205" i="18" s="1"/>
  <c r="Q206" i="18" a="1"/>
  <c r="Q206" i="18" s="1"/>
  <c r="Q207" i="18" a="1"/>
  <c r="Q207" i="18" s="1"/>
  <c r="R207" i="18" s="1"/>
  <c r="Q208" i="18" a="1"/>
  <c r="Q208" i="18" s="1"/>
  <c r="Q209" i="18" a="1"/>
  <c r="Q209" i="18" s="1"/>
  <c r="R209" i="18" s="1"/>
  <c r="Q210" i="18" a="1"/>
  <c r="Q210" i="18" s="1"/>
  <c r="Q211" i="18" a="1"/>
  <c r="Q211" i="18"/>
  <c r="R211" i="18" s="1"/>
  <c r="Q212" i="18" a="1"/>
  <c r="Q212" i="18" s="1"/>
  <c r="Q213" i="18" a="1"/>
  <c r="Q213" i="18" s="1"/>
  <c r="R213" i="18" s="1"/>
  <c r="Q214" i="18" a="1"/>
  <c r="Q214" i="18" s="1"/>
  <c r="Q215" i="18" a="1"/>
  <c r="Q215" i="18" s="1"/>
  <c r="R215" i="18" s="1"/>
  <c r="Q216" i="18" a="1"/>
  <c r="Q216" i="18" s="1"/>
  <c r="Q217" i="18" a="1"/>
  <c r="Q217" i="18" s="1"/>
  <c r="Q218" i="18" a="1"/>
  <c r="Q218" i="18" s="1"/>
  <c r="Q219" i="18" a="1"/>
  <c r="Q219" i="18"/>
  <c r="R219" i="18" s="1"/>
  <c r="Q220" i="18" a="1"/>
  <c r="Q220" i="18" s="1"/>
  <c r="Q221" i="18" a="1"/>
  <c r="Q221" i="18" s="1"/>
  <c r="R221" i="18" s="1"/>
  <c r="Q222" i="18" a="1"/>
  <c r="Q222" i="18" s="1"/>
  <c r="Q223" i="18" a="1"/>
  <c r="Q223" i="18" s="1"/>
  <c r="R223" i="18" s="1"/>
  <c r="Q224" i="18" a="1"/>
  <c r="Q224" i="18" s="1"/>
  <c r="Q225" i="18" a="1"/>
  <c r="Q225" i="18" s="1"/>
  <c r="R225" i="18" s="1"/>
  <c r="Q226" i="18" a="1"/>
  <c r="Q226" i="18" s="1"/>
  <c r="Q227" i="18" a="1"/>
  <c r="Q227" i="18" s="1"/>
  <c r="R227" i="18" s="1"/>
  <c r="U227" i="18" s="1"/>
  <c r="Q228" i="18" a="1"/>
  <c r="Q228" i="18" s="1"/>
  <c r="Q229" i="18" a="1"/>
  <c r="Q229" i="18" s="1"/>
  <c r="R229" i="18" s="1"/>
  <c r="Q230" i="18" a="1"/>
  <c r="Q230" i="18" s="1"/>
  <c r="Q231" i="18" a="1"/>
  <c r="Q231" i="18" s="1"/>
  <c r="R231" i="18" s="1"/>
  <c r="Q232" i="18" a="1"/>
  <c r="Q232" i="18" s="1"/>
  <c r="Q233" i="18" a="1"/>
  <c r="Q233" i="18" s="1"/>
  <c r="Q234" i="18" a="1"/>
  <c r="Q234" i="18" s="1"/>
  <c r="Q235" i="18" a="1"/>
  <c r="Q235" i="18" s="1"/>
  <c r="R235" i="18" s="1"/>
  <c r="Q236" i="18" a="1"/>
  <c r="Q236" i="18" s="1"/>
  <c r="Q237" i="18" a="1"/>
  <c r="Q237" i="18" s="1"/>
  <c r="R237" i="18" s="1"/>
  <c r="Q238" i="18" a="1"/>
  <c r="Q238" i="18" s="1"/>
  <c r="Q239" i="18" a="1"/>
  <c r="Q239" i="18" s="1"/>
  <c r="R239" i="18" s="1"/>
  <c r="Q240" i="18" a="1"/>
  <c r="Q240" i="18" s="1"/>
  <c r="Q241" i="18" a="1"/>
  <c r="Q241" i="18" s="1"/>
  <c r="R241" i="18" s="1"/>
  <c r="Q242" i="18" a="1"/>
  <c r="Q242" i="18" s="1"/>
  <c r="Q243" i="18" a="1"/>
  <c r="Q243" i="18"/>
  <c r="R243" i="18" s="1"/>
  <c r="Q244" i="18" a="1"/>
  <c r="Q244" i="18" s="1"/>
  <c r="Q245" i="18" a="1"/>
  <c r="Q245" i="18" s="1"/>
  <c r="R245" i="18" s="1"/>
  <c r="Q246" i="18" a="1"/>
  <c r="Q246" i="18" s="1"/>
  <c r="Q247" i="18" a="1"/>
  <c r="Q247" i="18" s="1"/>
  <c r="R247" i="18" s="1"/>
  <c r="Q248" i="18" a="1"/>
  <c r="Q248" i="18" s="1"/>
  <c r="Q249" i="18" a="1"/>
  <c r="Q249" i="18" s="1"/>
  <c r="R249" i="18" s="1"/>
  <c r="Q250" i="18" a="1"/>
  <c r="Q250" i="18" s="1"/>
  <c r="Q251" i="18" a="1"/>
  <c r="Q251" i="18"/>
  <c r="Q252" i="18" a="1"/>
  <c r="Q252" i="18" s="1"/>
  <c r="Q253" i="18" a="1"/>
  <c r="Q253" i="18" s="1"/>
  <c r="R253" i="18" s="1"/>
  <c r="Q254" i="18" a="1"/>
  <c r="Q254" i="18" s="1"/>
  <c r="Q255" i="18" a="1"/>
  <c r="Q255" i="18" s="1"/>
  <c r="R255" i="18" s="1"/>
  <c r="Q256" i="18" a="1"/>
  <c r="Q256" i="18" s="1"/>
  <c r="Q257" i="18" a="1"/>
  <c r="Q257" i="18" s="1"/>
  <c r="R257" i="18" s="1"/>
  <c r="Q258" i="18" a="1"/>
  <c r="Q258" i="18" s="1"/>
  <c r="Q259" i="18" a="1"/>
  <c r="Q259" i="18"/>
  <c r="Q260" i="18" a="1"/>
  <c r="Q260" i="18" s="1"/>
  <c r="Q261" i="18" a="1"/>
  <c r="Q261" i="18" s="1"/>
  <c r="R261" i="18" s="1"/>
  <c r="Q262" i="18" a="1"/>
  <c r="Q262" i="18" s="1"/>
  <c r="Q263" i="18" a="1"/>
  <c r="Q263" i="18" s="1"/>
  <c r="R263" i="18" s="1"/>
  <c r="Q264" i="18" a="1"/>
  <c r="Q264" i="18" s="1"/>
  <c r="Q265" i="18" a="1"/>
  <c r="Q265" i="18" s="1"/>
  <c r="R265" i="18" s="1"/>
  <c r="Q266" i="18" a="1"/>
  <c r="Q266" i="18" s="1"/>
  <c r="Q267" i="18" a="1"/>
  <c r="Q267" i="18" s="1"/>
  <c r="Q268" i="18" a="1"/>
  <c r="Q268" i="18" s="1"/>
  <c r="Q269" i="18" a="1"/>
  <c r="Q269" i="18" s="1"/>
  <c r="R269" i="18" s="1"/>
  <c r="Q270" i="18" a="1"/>
  <c r="Q270" i="18" s="1"/>
  <c r="Q271" i="18" a="1"/>
  <c r="Q271" i="18" s="1"/>
  <c r="R2" i="18"/>
  <c r="R4" i="18"/>
  <c r="R5" i="18"/>
  <c r="R8" i="18"/>
  <c r="R9" i="18"/>
  <c r="R10" i="18"/>
  <c r="R13" i="18"/>
  <c r="R14" i="18"/>
  <c r="R16" i="18"/>
  <c r="R18" i="18"/>
  <c r="R20" i="18"/>
  <c r="R21" i="18"/>
  <c r="R24" i="18"/>
  <c r="R25" i="18"/>
  <c r="R26" i="18"/>
  <c r="R29" i="18"/>
  <c r="R30" i="18"/>
  <c r="R32" i="18"/>
  <c r="R34" i="18"/>
  <c r="R36" i="18"/>
  <c r="R37" i="18"/>
  <c r="R40" i="18"/>
  <c r="R42" i="18"/>
  <c r="R45" i="18"/>
  <c r="R46" i="18"/>
  <c r="R48" i="18"/>
  <c r="R50" i="18"/>
  <c r="R52" i="18"/>
  <c r="R53" i="18"/>
  <c r="R56" i="18"/>
  <c r="R57" i="18"/>
  <c r="R58" i="18"/>
  <c r="R61" i="18"/>
  <c r="R62" i="18"/>
  <c r="R64" i="18"/>
  <c r="R66" i="18"/>
  <c r="R68" i="18"/>
  <c r="R69" i="18"/>
  <c r="R70" i="18"/>
  <c r="R72" i="18"/>
  <c r="R73" i="18"/>
  <c r="R74" i="18"/>
  <c r="R78" i="18"/>
  <c r="R80" i="18"/>
  <c r="R81" i="18"/>
  <c r="R84" i="18"/>
  <c r="R86" i="18"/>
  <c r="R88" i="18"/>
  <c r="R90" i="18"/>
  <c r="R92" i="18"/>
  <c r="R94" i="18"/>
  <c r="R98" i="18"/>
  <c r="R100" i="18"/>
  <c r="R102" i="18"/>
  <c r="R104" i="18"/>
  <c r="R105" i="18"/>
  <c r="R106" i="18"/>
  <c r="R108" i="18"/>
  <c r="R112" i="18"/>
  <c r="R114" i="18"/>
  <c r="R116" i="18"/>
  <c r="R120" i="18"/>
  <c r="R121" i="18"/>
  <c r="R122" i="18"/>
  <c r="R126" i="18"/>
  <c r="R128" i="18"/>
  <c r="R130" i="18"/>
  <c r="R134" i="18"/>
  <c r="R136" i="18"/>
  <c r="R137" i="18"/>
  <c r="R140" i="18"/>
  <c r="R142" i="18"/>
  <c r="R144" i="18"/>
  <c r="R148" i="18"/>
  <c r="R150" i="18"/>
  <c r="R152" i="18"/>
  <c r="R154" i="18"/>
  <c r="R156" i="18"/>
  <c r="R158" i="18"/>
  <c r="R160" i="18"/>
  <c r="R162" i="18"/>
  <c r="R164" i="18"/>
  <c r="R166" i="18"/>
  <c r="R168" i="18"/>
  <c r="R169" i="18"/>
  <c r="R170" i="18"/>
  <c r="R172" i="18"/>
  <c r="R174" i="18"/>
  <c r="R176" i="18"/>
  <c r="R178" i="18"/>
  <c r="R180" i="18"/>
  <c r="R182" i="18"/>
  <c r="R184" i="18"/>
  <c r="R185" i="18"/>
  <c r="R186" i="18"/>
  <c r="R188" i="18"/>
  <c r="R190" i="18"/>
  <c r="R192" i="18"/>
  <c r="R194" i="18"/>
  <c r="R196" i="18"/>
  <c r="R198" i="18"/>
  <c r="R200" i="18"/>
  <c r="R201" i="18"/>
  <c r="R202" i="18"/>
  <c r="R204" i="18"/>
  <c r="R206" i="18"/>
  <c r="R208" i="18"/>
  <c r="R210" i="18"/>
  <c r="R212" i="18"/>
  <c r="R214" i="18"/>
  <c r="R216" i="18"/>
  <c r="R217" i="18"/>
  <c r="R218" i="18"/>
  <c r="R220" i="18"/>
  <c r="R222" i="18"/>
  <c r="R224" i="18"/>
  <c r="R226" i="18"/>
  <c r="R228" i="18"/>
  <c r="R230" i="18"/>
  <c r="R232" i="18"/>
  <c r="R233" i="18"/>
  <c r="R234" i="18"/>
  <c r="R236" i="18"/>
  <c r="R238" i="18"/>
  <c r="R240" i="18"/>
  <c r="R242" i="18"/>
  <c r="R244" i="18"/>
  <c r="R246" i="18"/>
  <c r="R248" i="18"/>
  <c r="R250" i="18"/>
  <c r="R251" i="18"/>
  <c r="R252" i="18"/>
  <c r="R254" i="18"/>
  <c r="R256" i="18"/>
  <c r="R258" i="18"/>
  <c r="R259" i="18"/>
  <c r="R260" i="18"/>
  <c r="R262" i="18"/>
  <c r="R264" i="18"/>
  <c r="R266" i="18"/>
  <c r="R267" i="18"/>
  <c r="R268" i="18"/>
  <c r="R270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/>
  <c r="S271" i="18" a="1"/>
  <c r="S271" i="18" s="1"/>
  <c r="T2" i="18" a="1"/>
  <c r="T2" i="18" s="1"/>
  <c r="T3" i="18" a="1"/>
  <c r="T3" i="18" s="1"/>
  <c r="T4" i="18" a="1"/>
  <c r="T4" i="18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/>
  <c r="T17" i="18" a="1"/>
  <c r="T17" i="18" s="1"/>
  <c r="T18" i="18" a="1"/>
  <c r="T18" i="18" s="1"/>
  <c r="T19" i="18" a="1"/>
  <c r="T19" i="18" s="1"/>
  <c r="T20" i="18" a="1"/>
  <c r="T20" i="18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/>
  <c r="T54" i="18" a="1"/>
  <c r="T54" i="18" s="1"/>
  <c r="T55" i="18" a="1"/>
  <c r="T55" i="18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/>
  <c r="T62" i="18" a="1"/>
  <c r="T62" i="18" s="1"/>
  <c r="T63" i="18" a="1"/>
  <c r="T63" i="18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/>
  <c r="T70" i="18" a="1"/>
  <c r="T70" i="18" s="1"/>
  <c r="T71" i="18" a="1"/>
  <c r="T71" i="18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/>
  <c r="T78" i="18" a="1"/>
  <c r="T78" i="18" s="1"/>
  <c r="T79" i="18" a="1"/>
  <c r="T79" i="18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/>
  <c r="T86" i="18" a="1"/>
  <c r="T86" i="18" s="1"/>
  <c r="T87" i="18" a="1"/>
  <c r="T87" i="18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/>
  <c r="T94" i="18" a="1"/>
  <c r="T94" i="18" s="1"/>
  <c r="T95" i="18" a="1"/>
  <c r="T95" i="18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/>
  <c r="T102" i="18" a="1"/>
  <c r="T102" i="18" s="1"/>
  <c r="T103" i="18" a="1"/>
  <c r="T103" i="18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/>
  <c r="T110" i="18" a="1"/>
  <c r="T110" i="18" s="1"/>
  <c r="T111" i="18" a="1"/>
  <c r="T111" i="18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/>
  <c r="T118" i="18" a="1"/>
  <c r="T118" i="18" s="1"/>
  <c r="T119" i="18" a="1"/>
  <c r="T119" i="18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/>
  <c r="T126" i="18" a="1"/>
  <c r="T126" i="18" s="1"/>
  <c r="T127" i="18" a="1"/>
  <c r="T127" i="18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/>
  <c r="T134" i="18" a="1"/>
  <c r="T134" i="18" s="1"/>
  <c r="T135" i="18" a="1"/>
  <c r="T135" i="18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/>
  <c r="T142" i="18" a="1"/>
  <c r="T142" i="18" s="1"/>
  <c r="T143" i="18" a="1"/>
  <c r="T143" i="18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/>
  <c r="T150" i="18" a="1"/>
  <c r="T150" i="18" s="1"/>
  <c r="T151" i="18" a="1"/>
  <c r="T151" i="18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/>
  <c r="T270" i="18" a="1"/>
  <c r="T270" i="18" s="1"/>
  <c r="T271" i="18" a="1"/>
  <c r="T271" i="18" s="1"/>
  <c r="U2" i="18"/>
  <c r="U3" i="18"/>
  <c r="U4" i="18"/>
  <c r="U5" i="18"/>
  <c r="U6" i="18"/>
  <c r="U7" i="18"/>
  <c r="U8" i="18"/>
  <c r="U9" i="18"/>
  <c r="U10" i="18"/>
  <c r="U12" i="18"/>
  <c r="U13" i="18"/>
  <c r="U14" i="18"/>
  <c r="U15" i="18"/>
  <c r="U16" i="18"/>
  <c r="U18" i="18"/>
  <c r="U19" i="18"/>
  <c r="U20" i="18"/>
  <c r="U21" i="18"/>
  <c r="U22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2" i="18"/>
  <c r="U43" i="18"/>
  <c r="U44" i="18"/>
  <c r="U45" i="18"/>
  <c r="U46" i="18"/>
  <c r="U48" i="18"/>
  <c r="U49" i="18"/>
  <c r="U50" i="18"/>
  <c r="U51" i="18"/>
  <c r="U52" i="18"/>
  <c r="U53" i="18"/>
  <c r="U55" i="18"/>
  <c r="U56" i="18"/>
  <c r="U57" i="18"/>
  <c r="U58" i="18"/>
  <c r="U60" i="18"/>
  <c r="U61" i="18"/>
  <c r="U62" i="18"/>
  <c r="U63" i="18"/>
  <c r="U64" i="18"/>
  <c r="U66" i="18"/>
  <c r="U67" i="18"/>
  <c r="U68" i="18"/>
  <c r="U69" i="18"/>
  <c r="U70" i="18"/>
  <c r="U71" i="18"/>
  <c r="U72" i="18"/>
  <c r="U73" i="18"/>
  <c r="U74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100" i="18"/>
  <c r="U101" i="18"/>
  <c r="U102" i="18"/>
  <c r="U103" i="18"/>
  <c r="U104" i="18"/>
  <c r="U105" i="18"/>
  <c r="U106" i="18"/>
  <c r="U107" i="18"/>
  <c r="U108" i="18"/>
  <c r="U109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8" i="18"/>
  <c r="U189" i="18"/>
  <c r="U190" i="18"/>
  <c r="U191" i="18"/>
  <c r="U192" i="18"/>
  <c r="U193" i="18"/>
  <c r="U194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L2" i="17"/>
  <c r="L3" i="17"/>
  <c r="L4" i="17"/>
  <c r="L5" i="17"/>
  <c r="L6" i="17"/>
  <c r="L7" i="17"/>
  <c r="L182" i="17"/>
  <c r="L212" i="17"/>
  <c r="L242" i="17"/>
  <c r="L272" i="17"/>
  <c r="L302" i="17"/>
  <c r="L8" i="17"/>
  <c r="L9" i="17"/>
  <c r="L10" i="17"/>
  <c r="L11" i="17"/>
  <c r="L12" i="17"/>
  <c r="L13" i="17"/>
  <c r="L183" i="17"/>
  <c r="L213" i="17"/>
  <c r="L243" i="17"/>
  <c r="L273" i="17"/>
  <c r="L303" i="17"/>
  <c r="L14" i="17"/>
  <c r="L15" i="17"/>
  <c r="L16" i="17"/>
  <c r="L17" i="17"/>
  <c r="L18" i="17"/>
  <c r="L19" i="17"/>
  <c r="L184" i="17"/>
  <c r="L214" i="17"/>
  <c r="L244" i="17"/>
  <c r="L274" i="17"/>
  <c r="L304" i="17"/>
  <c r="L20" i="17"/>
  <c r="L21" i="17"/>
  <c r="L22" i="17"/>
  <c r="L23" i="17"/>
  <c r="L24" i="17"/>
  <c r="L25" i="17"/>
  <c r="L185" i="17"/>
  <c r="L215" i="17"/>
  <c r="L245" i="17"/>
  <c r="L275" i="17"/>
  <c r="L305" i="17"/>
  <c r="L26" i="17"/>
  <c r="L27" i="17"/>
  <c r="L28" i="17"/>
  <c r="L29" i="17"/>
  <c r="L30" i="17"/>
  <c r="L31" i="17"/>
  <c r="L186" i="17"/>
  <c r="L216" i="17"/>
  <c r="L246" i="17"/>
  <c r="L276" i="17"/>
  <c r="L306" i="17"/>
  <c r="L32" i="17"/>
  <c r="L33" i="17"/>
  <c r="L34" i="17"/>
  <c r="L35" i="17"/>
  <c r="L36" i="17"/>
  <c r="L37" i="17"/>
  <c r="L187" i="17"/>
  <c r="L217" i="17"/>
  <c r="L247" i="17"/>
  <c r="L277" i="17"/>
  <c r="L307" i="17"/>
  <c r="L38" i="17"/>
  <c r="L39" i="17"/>
  <c r="L40" i="17"/>
  <c r="L41" i="17"/>
  <c r="L42" i="17"/>
  <c r="L43" i="17"/>
  <c r="L188" i="17"/>
  <c r="L218" i="17"/>
  <c r="L248" i="17"/>
  <c r="L278" i="17"/>
  <c r="L308" i="17"/>
  <c r="L44" i="17"/>
  <c r="L45" i="17"/>
  <c r="L46" i="17"/>
  <c r="L47" i="17"/>
  <c r="L48" i="17"/>
  <c r="L49" i="17"/>
  <c r="L189" i="17"/>
  <c r="L219" i="17"/>
  <c r="L249" i="17"/>
  <c r="L279" i="17"/>
  <c r="L309" i="17"/>
  <c r="L50" i="17"/>
  <c r="L51" i="17"/>
  <c r="L52" i="17"/>
  <c r="L53" i="17"/>
  <c r="L54" i="17"/>
  <c r="L55" i="17"/>
  <c r="L190" i="17"/>
  <c r="L220" i="17"/>
  <c r="L250" i="17"/>
  <c r="L280" i="17"/>
  <c r="L310" i="17"/>
  <c r="L56" i="17"/>
  <c r="L57" i="17"/>
  <c r="L58" i="17"/>
  <c r="L59" i="17"/>
  <c r="L60" i="17"/>
  <c r="L61" i="17"/>
  <c r="L191" i="17"/>
  <c r="L221" i="17"/>
  <c r="L251" i="17"/>
  <c r="L281" i="17"/>
  <c r="L311" i="17"/>
  <c r="L62" i="17"/>
  <c r="L63" i="17"/>
  <c r="L64" i="17"/>
  <c r="L65" i="17"/>
  <c r="L66" i="17"/>
  <c r="L67" i="17"/>
  <c r="L192" i="17"/>
  <c r="L222" i="17"/>
  <c r="L252" i="17"/>
  <c r="L282" i="17"/>
  <c r="L312" i="17"/>
  <c r="L68" i="17"/>
  <c r="L69" i="17"/>
  <c r="L70" i="17"/>
  <c r="L71" i="17"/>
  <c r="L72" i="17"/>
  <c r="L73" i="17"/>
  <c r="L193" i="17"/>
  <c r="L223" i="17"/>
  <c r="L253" i="17"/>
  <c r="L283" i="17"/>
  <c r="L313" i="17"/>
  <c r="L74" i="17"/>
  <c r="L75" i="17"/>
  <c r="L76" i="17"/>
  <c r="L77" i="17"/>
  <c r="L78" i="17"/>
  <c r="L79" i="17"/>
  <c r="L194" i="17"/>
  <c r="L224" i="17"/>
  <c r="L254" i="17"/>
  <c r="L284" i="17"/>
  <c r="L314" i="17"/>
  <c r="L80" i="17"/>
  <c r="L81" i="17"/>
  <c r="L82" i="17"/>
  <c r="L83" i="17"/>
  <c r="L84" i="17"/>
  <c r="L85" i="17"/>
  <c r="L195" i="17"/>
  <c r="L225" i="17"/>
  <c r="L255" i="17"/>
  <c r="L285" i="17"/>
  <c r="L315" i="17"/>
  <c r="L86" i="17"/>
  <c r="L87" i="17"/>
  <c r="L88" i="17"/>
  <c r="L89" i="17"/>
  <c r="L90" i="17"/>
  <c r="L91" i="17"/>
  <c r="L196" i="17"/>
  <c r="L226" i="17"/>
  <c r="L256" i="17"/>
  <c r="L286" i="17"/>
  <c r="L316" i="17"/>
  <c r="L92" i="17"/>
  <c r="L93" i="17"/>
  <c r="L94" i="17"/>
  <c r="L95" i="17"/>
  <c r="L96" i="17"/>
  <c r="L97" i="17"/>
  <c r="L197" i="17"/>
  <c r="L227" i="17"/>
  <c r="L257" i="17"/>
  <c r="L287" i="17"/>
  <c r="L317" i="17"/>
  <c r="L98" i="17"/>
  <c r="L99" i="17"/>
  <c r="L100" i="17"/>
  <c r="L101" i="17"/>
  <c r="L102" i="17"/>
  <c r="L103" i="17"/>
  <c r="L198" i="17"/>
  <c r="L228" i="17"/>
  <c r="L258" i="17"/>
  <c r="L288" i="17"/>
  <c r="L318" i="17"/>
  <c r="L104" i="17"/>
  <c r="L105" i="17"/>
  <c r="L106" i="17"/>
  <c r="L107" i="17"/>
  <c r="L108" i="17"/>
  <c r="L109" i="17"/>
  <c r="L199" i="17"/>
  <c r="L229" i="17"/>
  <c r="L259" i="17"/>
  <c r="L289" i="17"/>
  <c r="L319" i="17"/>
  <c r="L110" i="17"/>
  <c r="L111" i="17"/>
  <c r="L112" i="17"/>
  <c r="L113" i="17"/>
  <c r="L114" i="17"/>
  <c r="L115" i="17"/>
  <c r="L200" i="17"/>
  <c r="L230" i="17"/>
  <c r="L260" i="17"/>
  <c r="L290" i="17"/>
  <c r="L320" i="17"/>
  <c r="L116" i="17"/>
  <c r="L117" i="17"/>
  <c r="L118" i="17"/>
  <c r="L119" i="17"/>
  <c r="L120" i="17"/>
  <c r="L121" i="17"/>
  <c r="L201" i="17"/>
  <c r="L231" i="17"/>
  <c r="L261" i="17"/>
  <c r="L291" i="17"/>
  <c r="L321" i="17"/>
  <c r="L122" i="17"/>
  <c r="L123" i="17"/>
  <c r="L124" i="17"/>
  <c r="L125" i="17"/>
  <c r="L126" i="17"/>
  <c r="L127" i="17"/>
  <c r="L202" i="17"/>
  <c r="L232" i="17"/>
  <c r="L262" i="17"/>
  <c r="L292" i="17"/>
  <c r="L322" i="17"/>
  <c r="L128" i="17"/>
  <c r="L129" i="17"/>
  <c r="L130" i="17"/>
  <c r="L131" i="17"/>
  <c r="L132" i="17"/>
  <c r="L133" i="17"/>
  <c r="L203" i="17"/>
  <c r="L233" i="17"/>
  <c r="L263" i="17"/>
  <c r="L293" i="17"/>
  <c r="L323" i="17"/>
  <c r="L134" i="17"/>
  <c r="L135" i="17"/>
  <c r="L136" i="17"/>
  <c r="L137" i="17"/>
  <c r="L138" i="17"/>
  <c r="L139" i="17"/>
  <c r="L204" i="17"/>
  <c r="L234" i="17"/>
  <c r="L264" i="17"/>
  <c r="L294" i="17"/>
  <c r="L324" i="17"/>
  <c r="L140" i="17"/>
  <c r="L141" i="17"/>
  <c r="L142" i="17"/>
  <c r="L143" i="17"/>
  <c r="L144" i="17"/>
  <c r="L145" i="17"/>
  <c r="L205" i="17"/>
  <c r="L235" i="17"/>
  <c r="L265" i="17"/>
  <c r="L295" i="17"/>
  <c r="L325" i="17"/>
  <c r="L146" i="17"/>
  <c r="L147" i="17"/>
  <c r="L148" i="17"/>
  <c r="L149" i="17"/>
  <c r="L150" i="17"/>
  <c r="L151" i="17"/>
  <c r="L206" i="17"/>
  <c r="L236" i="17"/>
  <c r="L266" i="17"/>
  <c r="L296" i="17"/>
  <c r="L326" i="17"/>
  <c r="L152" i="17"/>
  <c r="L153" i="17"/>
  <c r="L154" i="17"/>
  <c r="L155" i="17"/>
  <c r="L156" i="17"/>
  <c r="L157" i="17"/>
  <c r="L207" i="17"/>
  <c r="L237" i="17"/>
  <c r="L267" i="17"/>
  <c r="L297" i="17"/>
  <c r="L327" i="17"/>
  <c r="L158" i="17"/>
  <c r="L159" i="17"/>
  <c r="L160" i="17"/>
  <c r="L161" i="17"/>
  <c r="L162" i="17"/>
  <c r="L163" i="17"/>
  <c r="L208" i="17"/>
  <c r="L238" i="17"/>
  <c r="L268" i="17"/>
  <c r="L298" i="17"/>
  <c r="L328" i="17"/>
  <c r="L164" i="17"/>
  <c r="L165" i="17"/>
  <c r="L166" i="17"/>
  <c r="L167" i="17"/>
  <c r="L168" i="17"/>
  <c r="L169" i="17"/>
  <c r="L209" i="17"/>
  <c r="L239" i="17"/>
  <c r="L269" i="17"/>
  <c r="L299" i="17"/>
  <c r="L329" i="17"/>
  <c r="L170" i="17"/>
  <c r="L171" i="17"/>
  <c r="L172" i="17"/>
  <c r="L173" i="17"/>
  <c r="L174" i="17"/>
  <c r="L175" i="17"/>
  <c r="L210" i="17"/>
  <c r="L240" i="17"/>
  <c r="L270" i="17"/>
  <c r="L300" i="17"/>
  <c r="L330" i="17"/>
  <c r="L176" i="17"/>
  <c r="L177" i="17"/>
  <c r="L178" i="17"/>
  <c r="L179" i="17"/>
  <c r="L180" i="17"/>
  <c r="L181" i="17"/>
  <c r="L211" i="17"/>
  <c r="L241" i="17"/>
  <c r="L271" i="17"/>
  <c r="L301" i="17"/>
  <c r="L33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182" i="17" a="1"/>
  <c r="M182" i="17" s="1"/>
  <c r="M212" i="17" a="1"/>
  <c r="M212" i="17" s="1"/>
  <c r="M242" i="17" a="1"/>
  <c r="M242" i="17" s="1"/>
  <c r="M272" i="17" a="1"/>
  <c r="M272" i="17" s="1"/>
  <c r="M302" i="17" a="1"/>
  <c r="M30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213" i="17" a="1"/>
  <c r="M213" i="17" s="1"/>
  <c r="M243" i="17" a="1"/>
  <c r="M243" i="17" s="1"/>
  <c r="M273" i="17" a="1"/>
  <c r="M273" i="17" s="1"/>
  <c r="M303" i="17" a="1"/>
  <c r="M30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14" i="17" a="1"/>
  <c r="M214" i="17" s="1"/>
  <c r="M244" i="17" a="1"/>
  <c r="M244" i="17" s="1"/>
  <c r="M274" i="17" a="1"/>
  <c r="M274" i="17" s="1"/>
  <c r="M304" i="17" a="1"/>
  <c r="M30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15" i="17" a="1"/>
  <c r="M215" i="17" s="1"/>
  <c r="M245" i="17" a="1"/>
  <c r="M245" i="17" s="1"/>
  <c r="M275" i="17" a="1"/>
  <c r="M275" i="17" s="1"/>
  <c r="M305" i="17" a="1"/>
  <c r="M30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216" i="17" a="1"/>
  <c r="M216" i="17" s="1"/>
  <c r="M246" i="17" a="1"/>
  <c r="M246" i="17" s="1"/>
  <c r="M276" i="17" a="1"/>
  <c r="M276" i="17" s="1"/>
  <c r="M306" i="17" a="1"/>
  <c r="M30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87" i="17" a="1"/>
  <c r="M187" i="17" s="1"/>
  <c r="M217" i="17" a="1"/>
  <c r="M217" i="17" s="1"/>
  <c r="M247" i="17" a="1"/>
  <c r="M247" i="17" s="1"/>
  <c r="M277" i="17" a="1"/>
  <c r="M277" i="17" s="1"/>
  <c r="M307" i="17" a="1"/>
  <c r="M30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88" i="17" a="1"/>
  <c r="M188" i="17" s="1"/>
  <c r="M218" i="17" a="1"/>
  <c r="M218" i="17" s="1"/>
  <c r="M248" i="17" a="1"/>
  <c r="M248" i="17" s="1"/>
  <c r="M278" i="17" a="1"/>
  <c r="M278" i="17" s="1"/>
  <c r="M308" i="17" a="1"/>
  <c r="M30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89" i="17" a="1"/>
  <c r="M189" i="17" s="1"/>
  <c r="M219" i="17" a="1"/>
  <c r="M219" i="17" s="1"/>
  <c r="M249" i="17" a="1"/>
  <c r="M249" i="17" s="1"/>
  <c r="M279" i="17" a="1"/>
  <c r="M279" i="17" s="1"/>
  <c r="M309" i="17" a="1"/>
  <c r="M30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90" i="17" a="1"/>
  <c r="M190" i="17" s="1"/>
  <c r="M220" i="17" a="1"/>
  <c r="M220" i="17" s="1"/>
  <c r="M250" i="17" a="1"/>
  <c r="M250" i="17" s="1"/>
  <c r="M280" i="17" a="1"/>
  <c r="M280" i="17" s="1"/>
  <c r="M310" i="17" a="1"/>
  <c r="M31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221" i="17" a="1"/>
  <c r="M221" i="17" s="1"/>
  <c r="M251" i="17" a="1"/>
  <c r="M251" i="17" s="1"/>
  <c r="M281" i="17" a="1"/>
  <c r="M281" i="17" s="1"/>
  <c r="M311" i="17" a="1"/>
  <c r="M31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222" i="17" a="1"/>
  <c r="M222" i="17" s="1"/>
  <c r="M252" i="17" a="1"/>
  <c r="M252" i="17" s="1"/>
  <c r="M282" i="17" a="1"/>
  <c r="M282" i="17" s="1"/>
  <c r="M312" i="17" a="1"/>
  <c r="M31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93" i="17" a="1"/>
  <c r="M193" i="17" s="1"/>
  <c r="M223" i="17" a="1"/>
  <c r="M223" i="17" s="1"/>
  <c r="M253" i="17" a="1"/>
  <c r="M253" i="17" s="1"/>
  <c r="M283" i="17" a="1"/>
  <c r="M283" i="17" s="1"/>
  <c r="M313" i="17" a="1"/>
  <c r="M31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224" i="17" a="1"/>
  <c r="M224" i="17" s="1"/>
  <c r="M254" i="17" a="1"/>
  <c r="M254" i="17" s="1"/>
  <c r="M284" i="17" a="1"/>
  <c r="M284" i="17" s="1"/>
  <c r="M314" i="17" a="1"/>
  <c r="M31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95" i="17" a="1"/>
  <c r="M195" i="17" s="1"/>
  <c r="M225" i="17" a="1"/>
  <c r="M225" i="17" s="1"/>
  <c r="M255" i="17" a="1"/>
  <c r="M255" i="17" s="1"/>
  <c r="M285" i="17" a="1"/>
  <c r="M285" i="17" s="1"/>
  <c r="M315" i="17" a="1"/>
  <c r="M31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226" i="17" a="1"/>
  <c r="M226" i="17" s="1"/>
  <c r="M256" i="17" a="1"/>
  <c r="M256" i="17" s="1"/>
  <c r="M286" i="17" a="1"/>
  <c r="M286" i="17" s="1"/>
  <c r="M316" i="17" a="1"/>
  <c r="M31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97" i="17" a="1"/>
  <c r="M197" i="17" s="1"/>
  <c r="M227" i="17" a="1"/>
  <c r="M227" i="17" s="1"/>
  <c r="M257" i="17" a="1"/>
  <c r="M257" i="17" s="1"/>
  <c r="M287" i="17" a="1"/>
  <c r="M287" i="17" s="1"/>
  <c r="M317" i="17" a="1"/>
  <c r="M31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 s="1"/>
  <c r="M228" i="17" a="1"/>
  <c r="M228" i="17" s="1"/>
  <c r="M258" i="17" a="1"/>
  <c r="M258" i="17" s="1"/>
  <c r="M288" i="17" a="1"/>
  <c r="M288" i="17" s="1"/>
  <c r="M318" i="17" a="1"/>
  <c r="M31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99" i="17" a="1"/>
  <c r="M199" i="17" s="1"/>
  <c r="M229" i="17" a="1"/>
  <c r="M229" i="17" s="1"/>
  <c r="M259" i="17" a="1"/>
  <c r="M259" i="17" s="1"/>
  <c r="M289" i="17" a="1"/>
  <c r="M289" i="17" s="1"/>
  <c r="M319" i="17" a="1"/>
  <c r="M31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200" i="17" a="1"/>
  <c r="M200" i="17" s="1"/>
  <c r="M230" i="17" a="1"/>
  <c r="M230" i="17" s="1"/>
  <c r="M260" i="17" a="1"/>
  <c r="M260" i="17" s="1"/>
  <c r="M290" i="17" a="1"/>
  <c r="M290" i="17" s="1"/>
  <c r="M320" i="17" a="1"/>
  <c r="M32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231" i="17" a="1"/>
  <c r="M231" i="17" s="1"/>
  <c r="M261" i="17" a="1"/>
  <c r="M261" i="17" s="1"/>
  <c r="M291" i="17" a="1"/>
  <c r="M291" i="17" s="1"/>
  <c r="M321" i="17" a="1"/>
  <c r="M32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202" i="17" a="1"/>
  <c r="M202" i="17" s="1"/>
  <c r="M232" i="17" a="1"/>
  <c r="M232" i="17" s="1"/>
  <c r="M262" i="17" a="1"/>
  <c r="M262" i="17" s="1"/>
  <c r="M292" i="17" a="1"/>
  <c r="M292" i="17" s="1"/>
  <c r="M322" i="17" a="1"/>
  <c r="M32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 s="1"/>
  <c r="M233" i="17" a="1"/>
  <c r="M233" i="17" s="1"/>
  <c r="M263" i="17" a="1"/>
  <c r="M263" i="17" s="1"/>
  <c r="M293" i="17" a="1"/>
  <c r="M293" i="17" s="1"/>
  <c r="M323" i="17" a="1"/>
  <c r="M32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 s="1"/>
  <c r="M234" i="17" a="1"/>
  <c r="M234" i="17" s="1"/>
  <c r="M264" i="17" a="1"/>
  <c r="M264" i="17" s="1"/>
  <c r="M294" i="17" a="1"/>
  <c r="M294" i="17" s="1"/>
  <c r="M324" i="17" a="1"/>
  <c r="M32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235" i="17" a="1"/>
  <c r="M235" i="17" s="1"/>
  <c r="M265" i="17" a="1"/>
  <c r="M265" i="17" s="1"/>
  <c r="M295" i="17" a="1"/>
  <c r="M295" i="17" s="1"/>
  <c r="M325" i="17" a="1"/>
  <c r="M32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206" i="17" a="1"/>
  <c r="M206" i="17" s="1"/>
  <c r="M236" i="17" a="1"/>
  <c r="M236" i="17" s="1"/>
  <c r="M266" i="17" a="1"/>
  <c r="M266" i="17" s="1"/>
  <c r="M296" i="17" a="1"/>
  <c r="M296" i="17" s="1"/>
  <c r="M326" i="17" a="1"/>
  <c r="M32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207" i="17" a="1"/>
  <c r="M207" i="17" s="1"/>
  <c r="M237" i="17" a="1"/>
  <c r="M237" i="17" s="1"/>
  <c r="M267" i="17" a="1"/>
  <c r="M267" i="17" s="1"/>
  <c r="M297" i="17" a="1"/>
  <c r="M297" i="17" s="1"/>
  <c r="M327" i="17" a="1"/>
  <c r="M32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238" i="17" a="1"/>
  <c r="M238" i="17" s="1"/>
  <c r="M268" i="17" a="1"/>
  <c r="M268" i="17" s="1"/>
  <c r="M298" i="17" a="1"/>
  <c r="M298" i="17" s="1"/>
  <c r="M328" i="17" a="1"/>
  <c r="M32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209" i="17" a="1"/>
  <c r="M209" i="17" s="1"/>
  <c r="M239" i="17" a="1"/>
  <c r="M239" i="17" s="1"/>
  <c r="M269" i="17" a="1"/>
  <c r="M269" i="17" s="1"/>
  <c r="M299" i="17" a="1"/>
  <c r="M299" i="17" s="1"/>
  <c r="M329" i="17" a="1"/>
  <c r="M32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240" i="17" a="1"/>
  <c r="M240" i="17" s="1"/>
  <c r="M270" i="17" a="1"/>
  <c r="M270" i="17" s="1"/>
  <c r="M300" i="17" a="1"/>
  <c r="M300" i="17" s="1"/>
  <c r="M330" i="17" a="1"/>
  <c r="M330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211" i="17" a="1"/>
  <c r="M211" i="17" s="1"/>
  <c r="M241" i="17" a="1"/>
  <c r="M241" i="17" s="1"/>
  <c r="M271" i="17" a="1"/>
  <c r="M271" i="17" s="1"/>
  <c r="M301" i="17" a="1"/>
  <c r="M301" i="17" s="1"/>
  <c r="M331" i="17" a="1"/>
  <c r="M331" i="17" s="1"/>
  <c r="N5" i="17" a="1"/>
  <c r="N5" i="17" s="1"/>
  <c r="N6" i="17" a="1"/>
  <c r="N6" i="17" s="1"/>
  <c r="N7" i="17" a="1"/>
  <c r="N7" i="17" s="1"/>
  <c r="N182" i="17" a="1"/>
  <c r="N182" i="17" s="1"/>
  <c r="N212" i="17" a="1"/>
  <c r="N212" i="17" s="1"/>
  <c r="N242" i="17" a="1"/>
  <c r="N242" i="17" s="1"/>
  <c r="N272" i="17" a="1"/>
  <c r="N272" i="17" s="1"/>
  <c r="N302" i="17" a="1"/>
  <c r="N302" i="17" s="1"/>
  <c r="N8" i="17" a="1"/>
  <c r="N8" i="17" s="1"/>
  <c r="N9" i="17" a="1"/>
  <c r="N9" i="17" s="1"/>
  <c r="N10" i="17" a="1"/>
  <c r="N10" i="17" s="1"/>
  <c r="N11" i="17" a="1"/>
  <c r="N11" i="17" s="1"/>
  <c r="N12" i="17" a="1"/>
  <c r="N12" i="17" s="1"/>
  <c r="N13" i="17" a="1"/>
  <c r="N13" i="17" s="1"/>
  <c r="N183" i="17" a="1"/>
  <c r="N183" i="17" s="1"/>
  <c r="N213" i="17" a="1"/>
  <c r="N213" i="17" s="1"/>
  <c r="N243" i="17" a="1"/>
  <c r="N243" i="17" s="1"/>
  <c r="N273" i="17" a="1"/>
  <c r="N273" i="17" s="1"/>
  <c r="N303" i="17" a="1"/>
  <c r="N303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184" i="17" a="1"/>
  <c r="N184" i="17" s="1"/>
  <c r="N214" i="17" a="1"/>
  <c r="N214" i="17" s="1"/>
  <c r="N244" i="17" a="1"/>
  <c r="N244" i="17" s="1"/>
  <c r="N274" i="17" a="1"/>
  <c r="N274" i="17" s="1"/>
  <c r="N304" i="17" a="1"/>
  <c r="N304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185" i="17" a="1"/>
  <c r="N185" i="17" s="1"/>
  <c r="N215" i="17" a="1"/>
  <c r="N215" i="17" s="1"/>
  <c r="N245" i="17" a="1"/>
  <c r="N245" i="17" s="1"/>
  <c r="N275" i="17" a="1"/>
  <c r="N275" i="17" s="1"/>
  <c r="N305" i="17" a="1"/>
  <c r="N305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186" i="17" a="1"/>
  <c r="N186" i="17" s="1"/>
  <c r="N216" i="17" a="1"/>
  <c r="N216" i="17" s="1"/>
  <c r="N246" i="17" a="1"/>
  <c r="N246" i="17" s="1"/>
  <c r="N276" i="17" a="1"/>
  <c r="N276" i="17" s="1"/>
  <c r="N306" i="17" a="1"/>
  <c r="N306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187" i="17" a="1"/>
  <c r="N187" i="17" s="1"/>
  <c r="N217" i="17" a="1"/>
  <c r="N217" i="17" s="1"/>
  <c r="N247" i="17" a="1"/>
  <c r="N247" i="17" s="1"/>
  <c r="N277" i="17" a="1"/>
  <c r="N277" i="17" s="1"/>
  <c r="N307" i="17" a="1"/>
  <c r="N307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188" i="17" a="1"/>
  <c r="N188" i="17" s="1"/>
  <c r="N218" i="17" a="1"/>
  <c r="N218" i="17" s="1"/>
  <c r="N248" i="17" a="1"/>
  <c r="N248" i="17" s="1"/>
  <c r="N278" i="17" a="1"/>
  <c r="N278" i="17" s="1"/>
  <c r="N308" i="17" a="1"/>
  <c r="N308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189" i="17" a="1"/>
  <c r="N189" i="17" s="1"/>
  <c r="N219" i="17" a="1"/>
  <c r="N219" i="17" s="1"/>
  <c r="N249" i="17" a="1"/>
  <c r="N249" i="17" s="1"/>
  <c r="N279" i="17" a="1"/>
  <c r="N279" i="17" s="1"/>
  <c r="N309" i="17" a="1"/>
  <c r="N309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190" i="17" a="1"/>
  <c r="N190" i="17" s="1"/>
  <c r="N220" i="17" a="1"/>
  <c r="N220" i="17" s="1"/>
  <c r="N250" i="17" a="1"/>
  <c r="N250" i="17" s="1"/>
  <c r="N280" i="17" a="1"/>
  <c r="N280" i="17" s="1"/>
  <c r="N310" i="17" a="1"/>
  <c r="N310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191" i="17" a="1"/>
  <c r="N191" i="17" s="1"/>
  <c r="N221" i="17" a="1"/>
  <c r="N221" i="17" s="1"/>
  <c r="N251" i="17" a="1"/>
  <c r="N251" i="17" s="1"/>
  <c r="N281" i="17" a="1"/>
  <c r="N281" i="17" s="1"/>
  <c r="N311" i="17" a="1"/>
  <c r="N31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192" i="17" a="1"/>
  <c r="N192" i="17" s="1"/>
  <c r="N222" i="17" a="1"/>
  <c r="N222" i="17" s="1"/>
  <c r="N252" i="17" a="1"/>
  <c r="N252" i="17" s="1"/>
  <c r="N282" i="17" a="1"/>
  <c r="N282" i="17" s="1"/>
  <c r="N312" i="17" a="1"/>
  <c r="N312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193" i="17" a="1"/>
  <c r="N193" i="17" s="1"/>
  <c r="N223" i="17" a="1"/>
  <c r="N223" i="17" s="1"/>
  <c r="N253" i="17" a="1"/>
  <c r="N253" i="17" s="1"/>
  <c r="N283" i="17" a="1"/>
  <c r="N283" i="17" s="1"/>
  <c r="N313" i="17" a="1"/>
  <c r="N313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194" i="17" a="1"/>
  <c r="N194" i="17" s="1"/>
  <c r="N224" i="17" a="1"/>
  <c r="N224" i="17" s="1"/>
  <c r="N254" i="17" a="1"/>
  <c r="N254" i="17" s="1"/>
  <c r="N284" i="17" a="1"/>
  <c r="N284" i="17" s="1"/>
  <c r="N314" i="17" a="1"/>
  <c r="N314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195" i="17" a="1"/>
  <c r="N195" i="17" s="1"/>
  <c r="N225" i="17" a="1"/>
  <c r="N225" i="17" s="1"/>
  <c r="N255" i="17" a="1"/>
  <c r="N255" i="17" s="1"/>
  <c r="N285" i="17" a="1"/>
  <c r="N285" i="17" s="1"/>
  <c r="N315" i="17" a="1"/>
  <c r="N315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196" i="17" a="1"/>
  <c r="N196" i="17" s="1"/>
  <c r="N226" i="17" a="1"/>
  <c r="N226" i="17" s="1"/>
  <c r="N256" i="17" a="1"/>
  <c r="N256" i="17" s="1"/>
  <c r="N286" i="17" a="1"/>
  <c r="N286" i="17" s="1"/>
  <c r="N316" i="17" a="1"/>
  <c r="N316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197" i="17" a="1"/>
  <c r="N197" i="17" s="1"/>
  <c r="N227" i="17" a="1"/>
  <c r="N227" i="17" s="1"/>
  <c r="N257" i="17" a="1"/>
  <c r="N257" i="17" s="1"/>
  <c r="N287" i="17" a="1"/>
  <c r="N287" i="17" s="1"/>
  <c r="N317" i="17" a="1"/>
  <c r="N317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198" i="17" a="1"/>
  <c r="N198" i="17" s="1"/>
  <c r="N228" i="17" a="1"/>
  <c r="N228" i="17" s="1"/>
  <c r="N258" i="17" a="1"/>
  <c r="N258" i="17" s="1"/>
  <c r="N288" i="17" a="1"/>
  <c r="N288" i="17" s="1"/>
  <c r="N318" i="17" a="1"/>
  <c r="N318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199" i="17" a="1"/>
  <c r="N199" i="17" s="1"/>
  <c r="N229" i="17" a="1"/>
  <c r="N229" i="17" s="1"/>
  <c r="N259" i="17" a="1"/>
  <c r="N259" i="17" s="1"/>
  <c r="N289" i="17" a="1"/>
  <c r="N289" i="17" s="1"/>
  <c r="N319" i="17" a="1"/>
  <c r="N319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200" i="17" a="1"/>
  <c r="N200" i="17" s="1"/>
  <c r="N230" i="17" a="1"/>
  <c r="N230" i="17" s="1"/>
  <c r="N260" i="17" a="1"/>
  <c r="N260" i="17" s="1"/>
  <c r="N290" i="17" a="1"/>
  <c r="N290" i="17" s="1"/>
  <c r="N320" i="17" a="1"/>
  <c r="N320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201" i="17" a="1"/>
  <c r="N201" i="17" s="1"/>
  <c r="N231" i="17" a="1"/>
  <c r="N231" i="17" s="1"/>
  <c r="N261" i="17" a="1"/>
  <c r="N261" i="17" s="1"/>
  <c r="N291" i="17" a="1"/>
  <c r="N291" i="17" s="1"/>
  <c r="N321" i="17" a="1"/>
  <c r="N32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202" i="17" a="1"/>
  <c r="N202" i="17" s="1"/>
  <c r="N232" i="17" a="1"/>
  <c r="N232" i="17" s="1"/>
  <c r="N262" i="17" a="1"/>
  <c r="N262" i="17" s="1"/>
  <c r="N292" i="17" a="1"/>
  <c r="N292" i="17" s="1"/>
  <c r="N322" i="17" a="1"/>
  <c r="N322" i="17" s="1"/>
  <c r="N128" i="17" a="1"/>
  <c r="N128" i="17" s="1"/>
  <c r="N129" i="17" a="1"/>
  <c r="N129" i="17" s="1"/>
  <c r="N130" i="17" a="1"/>
  <c r="N130" i="17" s="1"/>
  <c r="N131" i="17" a="1"/>
  <c r="N131" i="17" s="1"/>
  <c r="N132" i="17" a="1"/>
  <c r="N132" i="17" s="1"/>
  <c r="N133" i="17" a="1"/>
  <c r="N133" i="17" s="1"/>
  <c r="N203" i="17" a="1"/>
  <c r="N203" i="17" s="1"/>
  <c r="N233" i="17" a="1"/>
  <c r="N233" i="17" s="1"/>
  <c r="N263" i="17" a="1"/>
  <c r="N263" i="17" s="1"/>
  <c r="N293" i="17" a="1"/>
  <c r="N293" i="17" s="1"/>
  <c r="N323" i="17" a="1"/>
  <c r="N323" i="17" s="1"/>
  <c r="N134" i="17" a="1"/>
  <c r="N134" i="17" s="1"/>
  <c r="N135" i="17" a="1"/>
  <c r="N135" i="17" s="1"/>
  <c r="N136" i="17" a="1"/>
  <c r="N136" i="17" s="1"/>
  <c r="N137" i="17" a="1"/>
  <c r="N137" i="17" s="1"/>
  <c r="N138" i="17" a="1"/>
  <c r="N138" i="17" s="1"/>
  <c r="N139" i="17" a="1"/>
  <c r="N139" i="17" s="1"/>
  <c r="N204" i="17" a="1"/>
  <c r="N204" i="17" s="1"/>
  <c r="N234" i="17" a="1"/>
  <c r="N234" i="17" s="1"/>
  <c r="N264" i="17" a="1"/>
  <c r="N264" i="17" s="1"/>
  <c r="N294" i="17" a="1"/>
  <c r="N294" i="17" s="1"/>
  <c r="N324" i="17" a="1"/>
  <c r="N324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205" i="17" a="1"/>
  <c r="N205" i="17" s="1"/>
  <c r="N235" i="17" a="1"/>
  <c r="N235" i="17" s="1"/>
  <c r="N265" i="17" a="1"/>
  <c r="N265" i="17" s="1"/>
  <c r="N295" i="17" a="1"/>
  <c r="N295" i="17" s="1"/>
  <c r="N325" i="17" a="1"/>
  <c r="N325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206" i="17" a="1"/>
  <c r="N206" i="17" s="1"/>
  <c r="N236" i="17" a="1"/>
  <c r="N236" i="17" s="1"/>
  <c r="N266" i="17" a="1"/>
  <c r="N266" i="17" s="1"/>
  <c r="N296" i="17" a="1"/>
  <c r="N296" i="17" s="1"/>
  <c r="N326" i="17" a="1"/>
  <c r="N326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207" i="17" a="1"/>
  <c r="N207" i="17" s="1"/>
  <c r="N237" i="17" a="1"/>
  <c r="N237" i="17" s="1"/>
  <c r="N267" i="17" a="1"/>
  <c r="N267" i="17" s="1"/>
  <c r="N297" i="17" a="1"/>
  <c r="N297" i="17" s="1"/>
  <c r="N327" i="17" a="1"/>
  <c r="N327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208" i="17" a="1"/>
  <c r="N208" i="17" s="1"/>
  <c r="N238" i="17" a="1"/>
  <c r="N238" i="17" s="1"/>
  <c r="N268" i="17" a="1"/>
  <c r="N268" i="17" s="1"/>
  <c r="N298" i="17" a="1"/>
  <c r="N298" i="17" s="1"/>
  <c r="N328" i="17" a="1"/>
  <c r="N328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 s="1"/>
  <c r="N169" i="17" a="1"/>
  <c r="N169" i="17" s="1"/>
  <c r="N209" i="17" a="1"/>
  <c r="N209" i="17" s="1"/>
  <c r="N239" i="17" a="1"/>
  <c r="N239" i="17" s="1"/>
  <c r="N269" i="17" a="1"/>
  <c r="N269" i="17" s="1"/>
  <c r="N299" i="17" a="1"/>
  <c r="N299" i="17" s="1"/>
  <c r="N329" i="17" a="1"/>
  <c r="N329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210" i="17" a="1"/>
  <c r="N210" i="17" s="1"/>
  <c r="N240" i="17" a="1"/>
  <c r="N240" i="17" s="1"/>
  <c r="N270" i="17" a="1"/>
  <c r="N270" i="17" s="1"/>
  <c r="N300" i="17" a="1"/>
  <c r="N300" i="17" s="1"/>
  <c r="N330" i="17" a="1"/>
  <c r="N330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211" i="17" a="1"/>
  <c r="N211" i="17" s="1"/>
  <c r="N241" i="17" a="1"/>
  <c r="N241" i="17" s="1"/>
  <c r="N271" i="17" a="1"/>
  <c r="N271" i="17" s="1"/>
  <c r="N301" i="17" a="1"/>
  <c r="N301" i="17" s="1"/>
  <c r="N331" i="17" a="1"/>
  <c r="N33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182" i="17" a="1"/>
  <c r="O182" i="17" s="1"/>
  <c r="O212" i="17" a="1"/>
  <c r="O212" i="17" s="1"/>
  <c r="O242" i="17" a="1"/>
  <c r="O242" i="17" s="1"/>
  <c r="O272" i="17" a="1"/>
  <c r="O272" i="17" s="1"/>
  <c r="O302" i="17" a="1"/>
  <c r="O302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183" i="17" a="1"/>
  <c r="O183" i="17" s="1"/>
  <c r="O213" i="17" a="1"/>
  <c r="O213" i="17" s="1"/>
  <c r="O243" i="17" a="1"/>
  <c r="O243" i="17" s="1"/>
  <c r="O273" i="17" a="1"/>
  <c r="O273" i="17" s="1"/>
  <c r="O303" i="17" a="1"/>
  <c r="O30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184" i="17" a="1"/>
  <c r="O184" i="17" s="1"/>
  <c r="O214" i="17" a="1"/>
  <c r="O214" i="17" s="1"/>
  <c r="O244" i="17" a="1"/>
  <c r="O244" i="17" s="1"/>
  <c r="O274" i="17" a="1"/>
  <c r="O274" i="17" s="1"/>
  <c r="O304" i="17" a="1"/>
  <c r="O304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185" i="17" a="1"/>
  <c r="O185" i="17" s="1"/>
  <c r="O215" i="17" a="1"/>
  <c r="O215" i="17" s="1"/>
  <c r="O245" i="17" a="1"/>
  <c r="O245" i="17" s="1"/>
  <c r="O275" i="17" a="1"/>
  <c r="O275" i="17" s="1"/>
  <c r="O305" i="17" a="1"/>
  <c r="O305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186" i="17" a="1"/>
  <c r="O186" i="17" s="1"/>
  <c r="O216" i="17" a="1"/>
  <c r="O216" i="17" s="1"/>
  <c r="O246" i="17" a="1"/>
  <c r="O246" i="17" s="1"/>
  <c r="O276" i="17" a="1"/>
  <c r="O276" i="17" s="1"/>
  <c r="O306" i="17" a="1"/>
  <c r="O306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187" i="17" a="1"/>
  <c r="O187" i="17" s="1"/>
  <c r="O217" i="17" a="1"/>
  <c r="O217" i="17" s="1"/>
  <c r="O247" i="17" a="1"/>
  <c r="O247" i="17" s="1"/>
  <c r="O277" i="17" a="1"/>
  <c r="O277" i="17" s="1"/>
  <c r="O307" i="17" a="1"/>
  <c r="O307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188" i="17" a="1"/>
  <c r="O188" i="17" s="1"/>
  <c r="O218" i="17" a="1"/>
  <c r="O218" i="17" s="1"/>
  <c r="O248" i="17" a="1"/>
  <c r="O248" i="17" s="1"/>
  <c r="O278" i="17" a="1"/>
  <c r="O278" i="17" s="1"/>
  <c r="O308" i="17" a="1"/>
  <c r="O308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189" i="17" a="1"/>
  <c r="O189" i="17" s="1"/>
  <c r="O219" i="17" a="1"/>
  <c r="O219" i="17" s="1"/>
  <c r="O249" i="17" a="1"/>
  <c r="O249" i="17" s="1"/>
  <c r="O279" i="17" a="1"/>
  <c r="O279" i="17" s="1"/>
  <c r="O309" i="17" a="1"/>
  <c r="O309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190" i="17" a="1"/>
  <c r="O190" i="17" s="1"/>
  <c r="O220" i="17" a="1"/>
  <c r="O220" i="17" s="1"/>
  <c r="O250" i="17" a="1"/>
  <c r="O250" i="17" s="1"/>
  <c r="O280" i="17" a="1"/>
  <c r="O280" i="17" s="1"/>
  <c r="O310" i="17" a="1"/>
  <c r="O31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191" i="17" a="1"/>
  <c r="O191" i="17" s="1"/>
  <c r="O221" i="17" a="1"/>
  <c r="O221" i="17" s="1"/>
  <c r="O251" i="17" a="1"/>
  <c r="O251" i="17" s="1"/>
  <c r="O281" i="17" a="1"/>
  <c r="O281" i="17" s="1"/>
  <c r="O311" i="17" a="1"/>
  <c r="O31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192" i="17" a="1"/>
  <c r="O192" i="17" s="1"/>
  <c r="O222" i="17" a="1"/>
  <c r="O222" i="17" s="1"/>
  <c r="O252" i="17" a="1"/>
  <c r="O252" i="17" s="1"/>
  <c r="O282" i="17" a="1"/>
  <c r="O282" i="17" s="1"/>
  <c r="O312" i="17" a="1"/>
  <c r="O312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193" i="17" a="1"/>
  <c r="O193" i="17" s="1"/>
  <c r="O223" i="17" a="1"/>
  <c r="O223" i="17" s="1"/>
  <c r="O253" i="17" a="1"/>
  <c r="O253" i="17" s="1"/>
  <c r="O283" i="17" a="1"/>
  <c r="O283" i="17" s="1"/>
  <c r="O313" i="17" a="1"/>
  <c r="O313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194" i="17" a="1"/>
  <c r="O194" i="17" s="1"/>
  <c r="O224" i="17" a="1"/>
  <c r="O224" i="17" s="1"/>
  <c r="O254" i="17" a="1"/>
  <c r="O254" i="17" s="1"/>
  <c r="O284" i="17" a="1"/>
  <c r="O284" i="17" s="1"/>
  <c r="O314" i="17" a="1"/>
  <c r="O314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95" i="17" a="1"/>
  <c r="O195" i="17" s="1"/>
  <c r="O225" i="17" a="1"/>
  <c r="O225" i="17" s="1"/>
  <c r="O255" i="17" a="1"/>
  <c r="O255" i="17" s="1"/>
  <c r="O285" i="17" a="1"/>
  <c r="O285" i="17" s="1"/>
  <c r="O315" i="17" a="1"/>
  <c r="O31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196" i="17" a="1"/>
  <c r="O196" i="17" s="1"/>
  <c r="O226" i="17" a="1"/>
  <c r="O226" i="17" s="1"/>
  <c r="O256" i="17" a="1"/>
  <c r="O256" i="17" s="1"/>
  <c r="O286" i="17" a="1"/>
  <c r="O286" i="17" s="1"/>
  <c r="O316" i="17" a="1"/>
  <c r="O316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197" i="17" a="1"/>
  <c r="O197" i="17" s="1"/>
  <c r="O227" i="17" a="1"/>
  <c r="O227" i="17" s="1"/>
  <c r="O257" i="17" a="1"/>
  <c r="O257" i="17" s="1"/>
  <c r="O287" i="17" a="1"/>
  <c r="O287" i="17" s="1"/>
  <c r="O317" i="17" a="1"/>
  <c r="O317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198" i="17" a="1"/>
  <c r="O198" i="17" s="1"/>
  <c r="O228" i="17" a="1"/>
  <c r="O228" i="17" s="1"/>
  <c r="O258" i="17" a="1"/>
  <c r="O258" i="17" s="1"/>
  <c r="O288" i="17" a="1"/>
  <c r="O288" i="17" s="1"/>
  <c r="O318" i="17" a="1"/>
  <c r="O31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99" i="17" a="1"/>
  <c r="O199" i="17" s="1"/>
  <c r="O229" i="17" a="1"/>
  <c r="O229" i="17" s="1"/>
  <c r="O259" i="17" a="1"/>
  <c r="O259" i="17" s="1"/>
  <c r="O289" i="17" a="1"/>
  <c r="O289" i="17" s="1"/>
  <c r="O319" i="17" a="1"/>
  <c r="O31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200" i="17" a="1"/>
  <c r="O200" i="17" s="1"/>
  <c r="O230" i="17" a="1"/>
  <c r="O230" i="17" s="1"/>
  <c r="O260" i="17" a="1"/>
  <c r="O260" i="17" s="1"/>
  <c r="O290" i="17" a="1"/>
  <c r="O290" i="17" s="1"/>
  <c r="O320" i="17" a="1"/>
  <c r="O320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201" i="17" a="1"/>
  <c r="O201" i="17" s="1"/>
  <c r="O231" i="17" a="1"/>
  <c r="O231" i="17" s="1"/>
  <c r="O261" i="17" a="1"/>
  <c r="O261" i="17" s="1"/>
  <c r="O291" i="17" a="1"/>
  <c r="O291" i="17" s="1"/>
  <c r="O321" i="17" a="1"/>
  <c r="O32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202" i="17" a="1"/>
  <c r="O202" i="17" s="1"/>
  <c r="O232" i="17" a="1"/>
  <c r="O232" i="17" s="1"/>
  <c r="O262" i="17" a="1"/>
  <c r="O262" i="17" s="1"/>
  <c r="O292" i="17" a="1"/>
  <c r="O292" i="17" s="1"/>
  <c r="O322" i="17" a="1"/>
  <c r="O32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203" i="17" a="1"/>
  <c r="O203" i="17" s="1"/>
  <c r="O233" i="17" a="1"/>
  <c r="O233" i="17" s="1"/>
  <c r="O263" i="17" a="1"/>
  <c r="O263" i="17" s="1"/>
  <c r="O293" i="17" a="1"/>
  <c r="O293" i="17" s="1"/>
  <c r="O323" i="17" a="1"/>
  <c r="O32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204" i="17" a="1"/>
  <c r="O204" i="17" s="1"/>
  <c r="O234" i="17" a="1"/>
  <c r="O234" i="17" s="1"/>
  <c r="O264" i="17" a="1"/>
  <c r="O264" i="17" s="1"/>
  <c r="O294" i="17" a="1"/>
  <c r="O294" i="17" s="1"/>
  <c r="O324" i="17" a="1"/>
  <c r="O32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205" i="17" a="1"/>
  <c r="O205" i="17" s="1"/>
  <c r="O235" i="17" a="1"/>
  <c r="O235" i="17" s="1"/>
  <c r="O265" i="17" a="1"/>
  <c r="O265" i="17" s="1"/>
  <c r="O295" i="17" a="1"/>
  <c r="O295" i="17" s="1"/>
  <c r="O325" i="17" a="1"/>
  <c r="O325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206" i="17" a="1"/>
  <c r="O206" i="17" s="1"/>
  <c r="O236" i="17" a="1"/>
  <c r="O236" i="17" s="1"/>
  <c r="O266" i="17" a="1"/>
  <c r="O266" i="17" s="1"/>
  <c r="O296" i="17" a="1"/>
  <c r="O296" i="17" s="1"/>
  <c r="O326" i="17" a="1"/>
  <c r="O32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207" i="17" a="1"/>
  <c r="O207" i="17" s="1"/>
  <c r="O237" i="17" a="1"/>
  <c r="O237" i="17" s="1"/>
  <c r="O267" i="17" a="1"/>
  <c r="O267" i="17" s="1"/>
  <c r="O297" i="17" a="1"/>
  <c r="O297" i="17" s="1"/>
  <c r="O327" i="17" a="1"/>
  <c r="O32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208" i="17" a="1"/>
  <c r="O208" i="17" s="1"/>
  <c r="O238" i="17" a="1"/>
  <c r="O238" i="17" s="1"/>
  <c r="O268" i="17" a="1"/>
  <c r="O268" i="17" s="1"/>
  <c r="O298" i="17" a="1"/>
  <c r="O298" i="17" s="1"/>
  <c r="O328" i="17" a="1"/>
  <c r="O328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209" i="17" a="1"/>
  <c r="O209" i="17" s="1"/>
  <c r="O239" i="17" a="1"/>
  <c r="O239" i="17" s="1"/>
  <c r="O269" i="17" a="1"/>
  <c r="O269" i="17" s="1"/>
  <c r="O299" i="17" a="1"/>
  <c r="O299" i="17" s="1"/>
  <c r="O329" i="17" a="1"/>
  <c r="O329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210" i="17" a="1"/>
  <c r="O210" i="17" s="1"/>
  <c r="O240" i="17" a="1"/>
  <c r="O240" i="17" s="1"/>
  <c r="O270" i="17" a="1"/>
  <c r="O270" i="17" s="1"/>
  <c r="O300" i="17" a="1"/>
  <c r="O300" i="17" s="1"/>
  <c r="O330" i="17" a="1"/>
  <c r="O33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211" i="17" a="1"/>
  <c r="O211" i="17" s="1"/>
  <c r="O241" i="17" a="1"/>
  <c r="O241" i="17" s="1"/>
  <c r="O271" i="17" a="1"/>
  <c r="O271" i="17" s="1"/>
  <c r="O301" i="17" a="1"/>
  <c r="O301" i="17" s="1"/>
  <c r="O331" i="17" a="1"/>
  <c r="O33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 s="1"/>
  <c r="P212" i="17" a="1"/>
  <c r="P212" i="17" s="1"/>
  <c r="P242" i="17" a="1"/>
  <c r="P242" i="17" s="1"/>
  <c r="P272" i="17" a="1"/>
  <c r="P272" i="17" s="1"/>
  <c r="P302" i="17" a="1"/>
  <c r="P30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83" i="17" a="1"/>
  <c r="P183" i="17" s="1"/>
  <c r="P213" i="17" a="1"/>
  <c r="P213" i="17" s="1"/>
  <c r="P243" i="17" a="1"/>
  <c r="P243" i="17" s="1"/>
  <c r="P273" i="17" a="1"/>
  <c r="P273" i="17" s="1"/>
  <c r="P303" i="17" a="1"/>
  <c r="P30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14" i="17" a="1"/>
  <c r="P214" i="17" s="1"/>
  <c r="P244" i="17" a="1"/>
  <c r="P244" i="17" s="1"/>
  <c r="P274" i="17" a="1"/>
  <c r="P274" i="17" s="1"/>
  <c r="P304" i="17" a="1"/>
  <c r="P30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85" i="17" a="1"/>
  <c r="P185" i="17" s="1"/>
  <c r="P215" i="17" a="1"/>
  <c r="P215" i="17" s="1"/>
  <c r="P245" i="17" a="1"/>
  <c r="P245" i="17" s="1"/>
  <c r="P275" i="17" a="1"/>
  <c r="P275" i="17" s="1"/>
  <c r="P305" i="17" a="1"/>
  <c r="P30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216" i="17" a="1"/>
  <c r="P216" i="17" s="1"/>
  <c r="P246" i="17" a="1"/>
  <c r="P246" i="17" s="1"/>
  <c r="P276" i="17" a="1"/>
  <c r="P276" i="17" s="1"/>
  <c r="P306" i="17" a="1"/>
  <c r="P30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217" i="17" a="1"/>
  <c r="P217" i="17" s="1"/>
  <c r="P247" i="17" a="1"/>
  <c r="P247" i="17" s="1"/>
  <c r="P277" i="17" a="1"/>
  <c r="P277" i="17" s="1"/>
  <c r="P307" i="17" a="1"/>
  <c r="P30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188" i="17" a="1"/>
  <c r="P188" i="17" s="1"/>
  <c r="P218" i="17" a="1"/>
  <c r="P218" i="17" s="1"/>
  <c r="P248" i="17" a="1"/>
  <c r="P248" i="17" s="1"/>
  <c r="P278" i="17" a="1"/>
  <c r="P278" i="17" s="1"/>
  <c r="P308" i="17" a="1"/>
  <c r="P30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89" i="17" a="1"/>
  <c r="P189" i="17" s="1"/>
  <c r="P219" i="17" a="1"/>
  <c r="P219" i="17" s="1"/>
  <c r="P249" i="17" a="1"/>
  <c r="P249" i="17" s="1"/>
  <c r="P279" i="17" a="1"/>
  <c r="P279" i="17" s="1"/>
  <c r="P309" i="17" a="1"/>
  <c r="P30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90" i="17" a="1"/>
  <c r="P190" i="17" s="1"/>
  <c r="P220" i="17" a="1"/>
  <c r="P220" i="17" s="1"/>
  <c r="P250" i="17" a="1"/>
  <c r="P250" i="17" s="1"/>
  <c r="P280" i="17" a="1"/>
  <c r="P280" i="17" s="1"/>
  <c r="P310" i="17" a="1"/>
  <c r="P31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221" i="17" a="1"/>
  <c r="P221" i="17" s="1"/>
  <c r="P251" i="17" a="1"/>
  <c r="P251" i="17" s="1"/>
  <c r="P281" i="17" a="1"/>
  <c r="P281" i="17" s="1"/>
  <c r="P311" i="17" a="1"/>
  <c r="P31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222" i="17" a="1"/>
  <c r="P222" i="17" s="1"/>
  <c r="P252" i="17" a="1"/>
  <c r="P252" i="17" s="1"/>
  <c r="P282" i="17" a="1"/>
  <c r="P282" i="17" s="1"/>
  <c r="P312" i="17" a="1"/>
  <c r="P31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223" i="17" a="1"/>
  <c r="P223" i="17" s="1"/>
  <c r="P253" i="17" a="1"/>
  <c r="P253" i="17" s="1"/>
  <c r="P283" i="17" a="1"/>
  <c r="P283" i="17" s="1"/>
  <c r="P313" i="17" a="1"/>
  <c r="P31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224" i="17" a="1"/>
  <c r="P224" i="17" s="1"/>
  <c r="P254" i="17" a="1"/>
  <c r="P254" i="17" s="1"/>
  <c r="P284" i="17" a="1"/>
  <c r="P284" i="17" s="1"/>
  <c r="P314" i="17" a="1"/>
  <c r="P31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95" i="17" a="1"/>
  <c r="P195" i="17" s="1"/>
  <c r="P225" i="17" a="1"/>
  <c r="P225" i="17" s="1"/>
  <c r="P255" i="17" a="1"/>
  <c r="P255" i="17" s="1"/>
  <c r="P285" i="17" a="1"/>
  <c r="P285" i="17" s="1"/>
  <c r="P315" i="17" a="1"/>
  <c r="P31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96" i="17" a="1"/>
  <c r="P196" i="17" s="1"/>
  <c r="P226" i="17" a="1"/>
  <c r="P226" i="17" s="1"/>
  <c r="P256" i="17" a="1"/>
  <c r="P256" i="17" s="1"/>
  <c r="P286" i="17" a="1"/>
  <c r="P286" i="17" s="1"/>
  <c r="P316" i="17" a="1"/>
  <c r="P31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227" i="17" a="1"/>
  <c r="P227" i="17" s="1"/>
  <c r="P257" i="17" a="1"/>
  <c r="P257" i="17" s="1"/>
  <c r="P287" i="17" a="1"/>
  <c r="P287" i="17" s="1"/>
  <c r="P317" i="17" a="1"/>
  <c r="P31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228" i="17" a="1"/>
  <c r="P228" i="17" s="1"/>
  <c r="P258" i="17" a="1"/>
  <c r="P258" i="17" s="1"/>
  <c r="P288" i="17" a="1"/>
  <c r="P288" i="17" s="1"/>
  <c r="P318" i="17" a="1"/>
  <c r="P31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99" i="17" a="1"/>
  <c r="P199" i="17" s="1"/>
  <c r="P229" i="17" a="1"/>
  <c r="P229" i="17" s="1"/>
  <c r="P259" i="17" a="1"/>
  <c r="P259" i="17" s="1"/>
  <c r="P289" i="17" a="1"/>
  <c r="P289" i="17" s="1"/>
  <c r="P319" i="17" a="1"/>
  <c r="P31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230" i="17" a="1"/>
  <c r="P230" i="17" s="1"/>
  <c r="P260" i="17" a="1"/>
  <c r="P260" i="17" s="1"/>
  <c r="P290" i="17" a="1"/>
  <c r="P290" i="17" s="1"/>
  <c r="P320" i="17" a="1"/>
  <c r="P32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 s="1"/>
  <c r="P231" i="17" a="1"/>
  <c r="P231" i="17" s="1"/>
  <c r="P261" i="17" a="1"/>
  <c r="P261" i="17" s="1"/>
  <c r="P291" i="17" a="1"/>
  <c r="P291" i="17" s="1"/>
  <c r="P321" i="17" a="1"/>
  <c r="P32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/>
  <c r="P232" i="17" a="1"/>
  <c r="P232" i="17" s="1"/>
  <c r="P262" i="17" a="1"/>
  <c r="P262" i="17" s="1"/>
  <c r="P292" i="17" a="1"/>
  <c r="P292" i="17" s="1"/>
  <c r="P322" i="17" a="1"/>
  <c r="P32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233" i="17" a="1"/>
  <c r="P233" i="17" s="1"/>
  <c r="P263" i="17" a="1"/>
  <c r="P263" i="17" s="1"/>
  <c r="P293" i="17" a="1"/>
  <c r="P293" i="17" s="1"/>
  <c r="P323" i="17" a="1"/>
  <c r="P32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 s="1"/>
  <c r="P234" i="17" a="1"/>
  <c r="P234" i="17" s="1"/>
  <c r="P264" i="17" a="1"/>
  <c r="P264" i="17"/>
  <c r="P294" i="17" a="1"/>
  <c r="P294" i="17" s="1"/>
  <c r="P324" i="17" a="1"/>
  <c r="P32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/>
  <c r="P205" i="17" a="1"/>
  <c r="P205" i="17" s="1"/>
  <c r="P235" i="17" a="1"/>
  <c r="P235" i="17" s="1"/>
  <c r="P265" i="17" a="1"/>
  <c r="P265" i="17" s="1"/>
  <c r="P295" i="17" a="1"/>
  <c r="P295" i="17" s="1"/>
  <c r="P325" i="17" a="1"/>
  <c r="P32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 s="1"/>
  <c r="P236" i="17" a="1"/>
  <c r="P236" i="17" s="1"/>
  <c r="P266" i="17" a="1"/>
  <c r="P266" i="17" s="1"/>
  <c r="P296" i="17" a="1"/>
  <c r="P296" i="17" s="1"/>
  <c r="P326" i="17" a="1"/>
  <c r="P32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237" i="17" a="1"/>
  <c r="P237" i="17"/>
  <c r="P267" i="17" a="1"/>
  <c r="P267" i="17" s="1"/>
  <c r="P297" i="17" a="1"/>
  <c r="P297" i="17" s="1"/>
  <c r="P327" i="17" a="1"/>
  <c r="P32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/>
  <c r="P163" i="17" a="1"/>
  <c r="P163" i="17" s="1"/>
  <c r="P208" i="17" a="1"/>
  <c r="P208" i="17" s="1"/>
  <c r="P238" i="17" a="1"/>
  <c r="P238" i="17" s="1"/>
  <c r="P268" i="17" a="1"/>
  <c r="P268" i="17" s="1"/>
  <c r="P298" i="17" a="1"/>
  <c r="P298" i="17" s="1"/>
  <c r="P328" i="17" a="1"/>
  <c r="P32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239" i="17" a="1"/>
  <c r="P239" i="17" s="1"/>
  <c r="P269" i="17" a="1"/>
  <c r="P269" i="17" s="1"/>
  <c r="P299" i="17" a="1"/>
  <c r="P299" i="17" s="1"/>
  <c r="P329" i="17" a="1"/>
  <c r="P329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210" i="17" a="1"/>
  <c r="P210" i="17"/>
  <c r="P240" i="17" a="1"/>
  <c r="P240" i="17" s="1"/>
  <c r="P270" i="17" a="1"/>
  <c r="P270" i="17" s="1"/>
  <c r="P300" i="17" a="1"/>
  <c r="P300" i="17" s="1"/>
  <c r="P330" i="17" a="1"/>
  <c r="P330" i="17" s="1"/>
  <c r="P176" i="17" a="1"/>
  <c r="P176" i="17" s="1"/>
  <c r="P177" i="17" a="1"/>
  <c r="P177" i="17" s="1"/>
  <c r="P178" i="17" a="1"/>
  <c r="P178" i="17" s="1"/>
  <c r="P179" i="17" a="1"/>
  <c r="P179" i="17"/>
  <c r="P180" i="17" a="1"/>
  <c r="P180" i="17" s="1"/>
  <c r="P181" i="17" a="1"/>
  <c r="P181" i="17" s="1"/>
  <c r="P211" i="17" a="1"/>
  <c r="P211" i="17" s="1"/>
  <c r="P241" i="17" a="1"/>
  <c r="P241" i="17" s="1"/>
  <c r="P271" i="17" a="1"/>
  <c r="P271" i="17" s="1"/>
  <c r="P301" i="17" a="1"/>
  <c r="P301" i="17" s="1"/>
  <c r="P331" i="17" a="1"/>
  <c r="P331" i="17" s="1"/>
  <c r="R2" i="17" a="1"/>
  <c r="R2" i="17" s="1"/>
  <c r="R3" i="17" a="1"/>
  <c r="R3" i="17" s="1"/>
  <c r="R4" i="17" a="1"/>
  <c r="R4" i="17" s="1"/>
  <c r="R5" i="17" a="1"/>
  <c r="R5" i="17"/>
  <c r="R6" i="17" a="1"/>
  <c r="R6" i="17" s="1"/>
  <c r="R7" i="17" a="1"/>
  <c r="R7" i="17" s="1"/>
  <c r="R182" i="17" a="1"/>
  <c r="R182" i="17" s="1"/>
  <c r="R212" i="17" a="1"/>
  <c r="R212" i="17" s="1"/>
  <c r="R242" i="17" a="1"/>
  <c r="R242" i="17" s="1"/>
  <c r="R272" i="17" a="1"/>
  <c r="R272" i="17" s="1"/>
  <c r="R302" i="17" a="1"/>
  <c r="R302" i="17" s="1"/>
  <c r="R8" i="17" a="1"/>
  <c r="R8" i="17" s="1"/>
  <c r="R9" i="17" a="1"/>
  <c r="R9" i="17" s="1"/>
  <c r="R10" i="17" a="1"/>
  <c r="R10" i="17"/>
  <c r="R11" i="17" a="1"/>
  <c r="R11" i="17" s="1"/>
  <c r="R12" i="17" a="1"/>
  <c r="R12" i="17" s="1"/>
  <c r="R13" i="17" a="1"/>
  <c r="R13" i="17" s="1"/>
  <c r="R183" i="17" a="1"/>
  <c r="R183" i="17" s="1"/>
  <c r="R213" i="17" a="1"/>
  <c r="R213" i="17" s="1"/>
  <c r="R243" i="17" a="1"/>
  <c r="R243" i="17" s="1"/>
  <c r="R273" i="17" a="1"/>
  <c r="R273" i="17" s="1"/>
  <c r="R303" i="17" a="1"/>
  <c r="R30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184" i="17" a="1"/>
  <c r="R184" i="17" s="1"/>
  <c r="R214" i="17" a="1"/>
  <c r="R214" i="17" s="1"/>
  <c r="R244" i="17" a="1"/>
  <c r="R244" i="17" s="1"/>
  <c r="R274" i="17" a="1"/>
  <c r="R274" i="17" s="1"/>
  <c r="R304" i="17" a="1"/>
  <c r="R304" i="17" s="1"/>
  <c r="R20" i="17" a="1"/>
  <c r="R20" i="17" s="1"/>
  <c r="R21" i="17" a="1"/>
  <c r="R21" i="17" s="1"/>
  <c r="R22" i="17" a="1"/>
  <c r="R22" i="17"/>
  <c r="R23" i="17" a="1"/>
  <c r="R23" i="17" s="1"/>
  <c r="R24" i="17" a="1"/>
  <c r="R24" i="17" s="1"/>
  <c r="R25" i="17" a="1"/>
  <c r="R25" i="17" s="1"/>
  <c r="R185" i="17" a="1"/>
  <c r="R185" i="17" s="1"/>
  <c r="R215" i="17" a="1"/>
  <c r="R215" i="17" s="1"/>
  <c r="R245" i="17" a="1"/>
  <c r="R245" i="17" s="1"/>
  <c r="R275" i="17" a="1"/>
  <c r="R275" i="17" s="1"/>
  <c r="R305" i="17" a="1"/>
  <c r="R305" i="17" s="1"/>
  <c r="R26" i="17" a="1"/>
  <c r="R26" i="17" s="1"/>
  <c r="R27" i="17" a="1"/>
  <c r="R27" i="17"/>
  <c r="R28" i="17" a="1"/>
  <c r="R28" i="17" s="1"/>
  <c r="R29" i="17" a="1"/>
  <c r="R29" i="17" s="1"/>
  <c r="R30" i="17" a="1"/>
  <c r="R30" i="17" s="1"/>
  <c r="R31" i="17" a="1"/>
  <c r="R31" i="17" s="1"/>
  <c r="R186" i="17" a="1"/>
  <c r="R186" i="17" s="1"/>
  <c r="R216" i="17" a="1"/>
  <c r="R216" i="17" s="1"/>
  <c r="R246" i="17" a="1"/>
  <c r="R246" i="17" s="1"/>
  <c r="R276" i="17" a="1"/>
  <c r="R276" i="17" s="1"/>
  <c r="R306" i="17" a="1"/>
  <c r="R30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187" i="17" a="1"/>
  <c r="R187" i="17" s="1"/>
  <c r="R217" i="17" a="1"/>
  <c r="R217" i="17" s="1"/>
  <c r="R247" i="17" a="1"/>
  <c r="R247" i="17" s="1"/>
  <c r="R277" i="17" a="1"/>
  <c r="R277" i="17" s="1"/>
  <c r="R307" i="17" a="1"/>
  <c r="R30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/>
  <c r="R188" i="17" a="1"/>
  <c r="R188" i="17" s="1"/>
  <c r="R218" i="17" a="1"/>
  <c r="R218" i="17" s="1"/>
  <c r="R248" i="17" a="1"/>
  <c r="R248" i="17" s="1"/>
  <c r="R278" i="17" a="1"/>
  <c r="R278" i="17" s="1"/>
  <c r="R308" i="17" a="1"/>
  <c r="R308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/>
  <c r="R49" i="17" a="1"/>
  <c r="R49" i="17" s="1"/>
  <c r="R189" i="17" a="1"/>
  <c r="R189" i="17" s="1"/>
  <c r="R219" i="17" a="1"/>
  <c r="R219" i="17" s="1"/>
  <c r="R249" i="17" a="1"/>
  <c r="R249" i="17" s="1"/>
  <c r="R279" i="17" a="1"/>
  <c r="R279" i="17" s="1"/>
  <c r="R309" i="17" a="1"/>
  <c r="R30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90" i="17" a="1"/>
  <c r="R190" i="17" s="1"/>
  <c r="R220" i="17" a="1"/>
  <c r="R220" i="17"/>
  <c r="R250" i="17" a="1"/>
  <c r="R250" i="17" s="1"/>
  <c r="R280" i="17" a="1"/>
  <c r="R280" i="17" s="1"/>
  <c r="R310" i="17" a="1"/>
  <c r="R310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191" i="17" a="1"/>
  <c r="R191" i="17" s="1"/>
  <c r="R221" i="17" a="1"/>
  <c r="R221" i="17" s="1"/>
  <c r="R251" i="17" a="1"/>
  <c r="R251" i="17" s="1"/>
  <c r="R281" i="17" a="1"/>
  <c r="R281" i="17" s="1"/>
  <c r="R311" i="17" a="1"/>
  <c r="R31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92" i="17" a="1"/>
  <c r="R192" i="17" s="1"/>
  <c r="R222" i="17" a="1"/>
  <c r="R222" i="17" s="1"/>
  <c r="R252" i="17" a="1"/>
  <c r="R252" i="17" s="1"/>
  <c r="R282" i="17" a="1"/>
  <c r="R282" i="17" s="1"/>
  <c r="R312" i="17" a="1"/>
  <c r="R31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93" i="17" a="1"/>
  <c r="R193" i="17" s="1"/>
  <c r="R223" i="17" a="1"/>
  <c r="R223" i="17" s="1"/>
  <c r="R253" i="17" a="1"/>
  <c r="R253" i="17" s="1"/>
  <c r="R283" i="17" a="1"/>
  <c r="R283" i="17" s="1"/>
  <c r="R313" i="17" a="1"/>
  <c r="R313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94" i="17" a="1"/>
  <c r="R194" i="17" s="1"/>
  <c r="R224" i="17" a="1"/>
  <c r="R224" i="17" s="1"/>
  <c r="R254" i="17" a="1"/>
  <c r="R254" i="17" s="1"/>
  <c r="R284" i="17" a="1"/>
  <c r="R284" i="17" s="1"/>
  <c r="R314" i="17" a="1"/>
  <c r="R314" i="17" s="1"/>
  <c r="R80" i="17" a="1"/>
  <c r="R80" i="17" s="1"/>
  <c r="R81" i="17" a="1"/>
  <c r="R81" i="17" s="1"/>
  <c r="R82" i="17" a="1"/>
  <c r="R82" i="17"/>
  <c r="R83" i="17" a="1"/>
  <c r="R83" i="17" s="1"/>
  <c r="R84" i="17" a="1"/>
  <c r="R84" i="17" s="1"/>
  <c r="R85" i="17" a="1"/>
  <c r="R85" i="17" s="1"/>
  <c r="R195" i="17" a="1"/>
  <c r="R195" i="17" s="1"/>
  <c r="R225" i="17" a="1"/>
  <c r="R225" i="17" s="1"/>
  <c r="R255" i="17" a="1"/>
  <c r="R255" i="17"/>
  <c r="R285" i="17" a="1"/>
  <c r="R285" i="17" s="1"/>
  <c r="R315" i="17" a="1"/>
  <c r="R31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96" i="17" a="1"/>
  <c r="R196" i="17" s="1"/>
  <c r="R226" i="17" a="1"/>
  <c r="R226" i="17" s="1"/>
  <c r="R256" i="17" a="1"/>
  <c r="R256" i="17" s="1"/>
  <c r="R286" i="17" a="1"/>
  <c r="R286" i="17" s="1"/>
  <c r="R316" i="17" a="1"/>
  <c r="R316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97" i="17" a="1"/>
  <c r="R197" i="17" s="1"/>
  <c r="R227" i="17" a="1"/>
  <c r="R227" i="17" s="1"/>
  <c r="R257" i="17" a="1"/>
  <c r="R257" i="17" s="1"/>
  <c r="R287" i="17" a="1"/>
  <c r="R287" i="17" s="1"/>
  <c r="R317" i="17" a="1"/>
  <c r="R317" i="17" s="1"/>
  <c r="R98" i="17" a="1"/>
  <c r="R98" i="17" s="1"/>
  <c r="R99" i="17" a="1"/>
  <c r="R99" i="17"/>
  <c r="R100" i="17" a="1"/>
  <c r="R100" i="17" s="1"/>
  <c r="R101" i="17" a="1"/>
  <c r="R101" i="17" s="1"/>
  <c r="R102" i="17" a="1"/>
  <c r="R102" i="17" s="1"/>
  <c r="R103" i="17" a="1"/>
  <c r="R103" i="17" s="1"/>
  <c r="R198" i="17" a="1"/>
  <c r="R198" i="17" s="1"/>
  <c r="R228" i="17" a="1"/>
  <c r="R228" i="17"/>
  <c r="R258" i="17" a="1"/>
  <c r="R258" i="17" s="1"/>
  <c r="R288" i="17" a="1"/>
  <c r="R288" i="17" s="1"/>
  <c r="R318" i="17" a="1"/>
  <c r="R318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99" i="17" a="1"/>
  <c r="R199" i="17" s="1"/>
  <c r="R229" i="17" a="1"/>
  <c r="R229" i="17" s="1"/>
  <c r="R259" i="17" a="1"/>
  <c r="R259" i="17" s="1"/>
  <c r="R289" i="17" a="1"/>
  <c r="R289" i="17" s="1"/>
  <c r="R319" i="17" a="1"/>
  <c r="R31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200" i="17" a="1"/>
  <c r="R200" i="17" s="1"/>
  <c r="R230" i="17" a="1"/>
  <c r="R230" i="17" s="1"/>
  <c r="R260" i="17" a="1"/>
  <c r="R260" i="17" s="1"/>
  <c r="R290" i="17" a="1"/>
  <c r="R290" i="17" s="1"/>
  <c r="R320" i="17" a="1"/>
  <c r="R32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201" i="17" a="1"/>
  <c r="R201" i="17" s="1"/>
  <c r="R231" i="17" a="1"/>
  <c r="R231" i="17" s="1"/>
  <c r="R261" i="17" a="1"/>
  <c r="R261" i="17" s="1"/>
  <c r="R291" i="17" a="1"/>
  <c r="R291" i="17" s="1"/>
  <c r="R321" i="17" a="1"/>
  <c r="R32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02" i="17" a="1"/>
  <c r="R202" i="17" s="1"/>
  <c r="R232" i="17" a="1"/>
  <c r="R232" i="17" s="1"/>
  <c r="R262" i="17" a="1"/>
  <c r="R262" i="17" s="1"/>
  <c r="R292" i="17" a="1"/>
  <c r="R292" i="17" s="1"/>
  <c r="R322" i="17" a="1"/>
  <c r="R322" i="17" s="1"/>
  <c r="R128" i="17" a="1"/>
  <c r="R128" i="17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203" i="17" a="1"/>
  <c r="R203" i="17" s="1"/>
  <c r="R233" i="17" a="1"/>
  <c r="R233" i="17" s="1"/>
  <c r="R263" i="17" a="1"/>
  <c r="R263" i="17"/>
  <c r="R293" i="17" a="1"/>
  <c r="R293" i="17" s="1"/>
  <c r="R323" i="17" a="1"/>
  <c r="R32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204" i="17" a="1"/>
  <c r="R204" i="17" s="1"/>
  <c r="R234" i="17" a="1"/>
  <c r="R234" i="17" s="1"/>
  <c r="R264" i="17" a="1"/>
  <c r="R264" i="17" s="1"/>
  <c r="R294" i="17" a="1"/>
  <c r="R294" i="17" s="1"/>
  <c r="R324" i="17" a="1"/>
  <c r="R324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205" i="17" a="1"/>
  <c r="R205" i="17" s="1"/>
  <c r="R235" i="17" a="1"/>
  <c r="R235" i="17" s="1"/>
  <c r="R265" i="17" a="1"/>
  <c r="R265" i="17" s="1"/>
  <c r="R295" i="17" a="1"/>
  <c r="R295" i="17" s="1"/>
  <c r="R325" i="17" a="1"/>
  <c r="R325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206" i="17" a="1"/>
  <c r="R206" i="17" s="1"/>
  <c r="R236" i="17" a="1"/>
  <c r="R236" i="17" s="1"/>
  <c r="R266" i="17" a="1"/>
  <c r="R266" i="17" s="1"/>
  <c r="R296" i="17" a="1"/>
  <c r="R296" i="17" s="1"/>
  <c r="R326" i="17" a="1"/>
  <c r="R32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07" i="17" a="1"/>
  <c r="R207" i="17" s="1"/>
  <c r="R237" i="17" a="1"/>
  <c r="R237" i="17" s="1"/>
  <c r="R267" i="17" a="1"/>
  <c r="R267" i="17" s="1"/>
  <c r="R297" i="17" a="1"/>
  <c r="R297" i="17" s="1"/>
  <c r="R327" i="17" a="1"/>
  <c r="R327" i="17" s="1"/>
  <c r="R158" i="17" a="1"/>
  <c r="R158" i="17" s="1"/>
  <c r="R159" i="17" a="1"/>
  <c r="R159" i="17"/>
  <c r="R160" i="17" a="1"/>
  <c r="R160" i="17" s="1"/>
  <c r="R161" i="17" a="1"/>
  <c r="R161" i="17" s="1"/>
  <c r="R162" i="17" a="1"/>
  <c r="R162" i="17" s="1"/>
  <c r="R163" i="17" a="1"/>
  <c r="R163" i="17" s="1"/>
  <c r="R208" i="17" a="1"/>
  <c r="R208" i="17" s="1"/>
  <c r="R238" i="17" a="1"/>
  <c r="R238" i="17" s="1"/>
  <c r="R268" i="17" a="1"/>
  <c r="R268" i="17" s="1"/>
  <c r="R298" i="17" a="1"/>
  <c r="R298" i="17" s="1"/>
  <c r="R328" i="17" a="1"/>
  <c r="R32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209" i="17" a="1"/>
  <c r="R209" i="17" s="1"/>
  <c r="R239" i="17" a="1"/>
  <c r="R239" i="17" s="1"/>
  <c r="R269" i="17" a="1"/>
  <c r="R269" i="17" s="1"/>
  <c r="R299" i="17" a="1"/>
  <c r="R299" i="17" s="1"/>
  <c r="R329" i="17" a="1"/>
  <c r="R32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210" i="17" a="1"/>
  <c r="R210" i="17" s="1"/>
  <c r="R240" i="17" a="1"/>
  <c r="R240" i="17" s="1"/>
  <c r="R270" i="17" a="1"/>
  <c r="R270" i="17" s="1"/>
  <c r="R300" i="17" a="1"/>
  <c r="R300" i="17" s="1"/>
  <c r="R330" i="17" a="1"/>
  <c r="R33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211" i="17" a="1"/>
  <c r="R211" i="17" s="1"/>
  <c r="R241" i="17" a="1"/>
  <c r="R241" i="17" s="1"/>
  <c r="R271" i="17" a="1"/>
  <c r="R271" i="17" s="1"/>
  <c r="R301" i="17" a="1"/>
  <c r="R301" i="17" s="1"/>
  <c r="R331" i="17" a="1"/>
  <c r="R33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/>
  <c r="S182" i="17" a="1"/>
  <c r="S182" i="17" s="1"/>
  <c r="S212" i="17" a="1"/>
  <c r="S212" i="17" s="1"/>
  <c r="S242" i="17" a="1"/>
  <c r="S242" i="17" s="1"/>
  <c r="S272" i="17" a="1"/>
  <c r="S272" i="17" s="1"/>
  <c r="S302" i="17" a="1"/>
  <c r="S30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83" i="17" a="1"/>
  <c r="S183" i="17" s="1"/>
  <c r="S213" i="17" a="1"/>
  <c r="S213" i="17" s="1"/>
  <c r="S243" i="17" a="1"/>
  <c r="S243" i="17" s="1"/>
  <c r="S273" i="17" a="1"/>
  <c r="S273" i="17" s="1"/>
  <c r="S303" i="17" a="1"/>
  <c r="S30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/>
  <c r="S184" i="17" a="1"/>
  <c r="S184" i="17" s="1"/>
  <c r="S214" i="17" a="1"/>
  <c r="S214" i="17" s="1"/>
  <c r="S244" i="17" a="1"/>
  <c r="S244" i="17" s="1"/>
  <c r="S274" i="17" a="1"/>
  <c r="S274" i="17" s="1"/>
  <c r="S304" i="17" a="1"/>
  <c r="S30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/>
  <c r="S25" i="17" a="1"/>
  <c r="S25" i="17" s="1"/>
  <c r="S185" i="17" a="1"/>
  <c r="S185" i="17" s="1"/>
  <c r="S215" i="17" a="1"/>
  <c r="S215" i="17" s="1"/>
  <c r="S245" i="17" a="1"/>
  <c r="S245" i="17" s="1"/>
  <c r="S275" i="17" a="1"/>
  <c r="S275" i="17" s="1"/>
  <c r="S305" i="17" a="1"/>
  <c r="S305" i="17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186" i="17" a="1"/>
  <c r="S186" i="17" s="1"/>
  <c r="S216" i="17" a="1"/>
  <c r="S216" i="17" s="1"/>
  <c r="S246" i="17" a="1"/>
  <c r="S246" i="17" s="1"/>
  <c r="S276" i="17" a="1"/>
  <c r="S276" i="17" s="1"/>
  <c r="S306" i="17" a="1"/>
  <c r="S30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87" i="17" a="1"/>
  <c r="S187" i="17" s="1"/>
  <c r="S217" i="17" a="1"/>
  <c r="S217" i="17" s="1"/>
  <c r="S247" i="17" a="1"/>
  <c r="S247" i="17"/>
  <c r="S277" i="17" a="1"/>
  <c r="S277" i="17" s="1"/>
  <c r="S307" i="17" a="1"/>
  <c r="S307" i="17" s="1"/>
  <c r="S38" i="17" a="1"/>
  <c r="S38" i="17" s="1"/>
  <c r="S39" i="17" a="1"/>
  <c r="S39" i="17" s="1"/>
  <c r="S40" i="17" a="1"/>
  <c r="S40" i="17" s="1"/>
  <c r="S41" i="17" a="1"/>
  <c r="S41" i="17"/>
  <c r="S42" i="17" a="1"/>
  <c r="S42" i="17" s="1"/>
  <c r="S43" i="17" a="1"/>
  <c r="S43" i="17" s="1"/>
  <c r="S188" i="17" a="1"/>
  <c r="S188" i="17" s="1"/>
  <c r="S218" i="17" a="1"/>
  <c r="S218" i="17" s="1"/>
  <c r="S248" i="17" a="1"/>
  <c r="S248" i="17" s="1"/>
  <c r="S278" i="17" a="1"/>
  <c r="S278" i="17"/>
  <c r="S308" i="17" a="1"/>
  <c r="S30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89" i="17" a="1"/>
  <c r="S189" i="17" s="1"/>
  <c r="S219" i="17" a="1"/>
  <c r="S219" i="17" s="1"/>
  <c r="S249" i="17" a="1"/>
  <c r="S249" i="17" s="1"/>
  <c r="S279" i="17" a="1"/>
  <c r="S279" i="17" s="1"/>
  <c r="S309" i="17" a="1"/>
  <c r="S30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190" i="17" a="1"/>
  <c r="S190" i="17" s="1"/>
  <c r="S220" i="17" a="1"/>
  <c r="S220" i="17"/>
  <c r="S250" i="17" a="1"/>
  <c r="S250" i="17" s="1"/>
  <c r="S280" i="17" a="1"/>
  <c r="S280" i="17" s="1"/>
  <c r="S310" i="17" a="1"/>
  <c r="S31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/>
  <c r="S61" i="17" a="1"/>
  <c r="S61" i="17" s="1"/>
  <c r="S191" i="17" a="1"/>
  <c r="S191" i="17" s="1"/>
  <c r="S221" i="17" a="1"/>
  <c r="S221" i="17" s="1"/>
  <c r="S251" i="17" a="1"/>
  <c r="S251" i="17" s="1"/>
  <c r="S281" i="17" a="1"/>
  <c r="S281" i="17" s="1"/>
  <c r="S311" i="17" a="1"/>
  <c r="S31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92" i="17" a="1"/>
  <c r="S192" i="17" s="1"/>
  <c r="S222" i="17" a="1"/>
  <c r="S222" i="17" s="1"/>
  <c r="S252" i="17" a="1"/>
  <c r="S252" i="17" s="1"/>
  <c r="S282" i="17" a="1"/>
  <c r="S282" i="17" s="1"/>
  <c r="S312" i="17" a="1"/>
  <c r="S312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93" i="17" a="1"/>
  <c r="S193" i="17"/>
  <c r="S223" i="17" a="1"/>
  <c r="S223" i="17" s="1"/>
  <c r="S253" i="17" a="1"/>
  <c r="S253" i="17" s="1"/>
  <c r="S283" i="17" a="1"/>
  <c r="S283" i="17" s="1"/>
  <c r="S313" i="17" a="1"/>
  <c r="S313" i="17" s="1"/>
  <c r="S74" i="17" a="1"/>
  <c r="S74" i="17" s="1"/>
  <c r="S75" i="17" a="1"/>
  <c r="S75" i="17" s="1"/>
  <c r="S76" i="17" a="1"/>
  <c r="S76" i="17" s="1"/>
  <c r="S77" i="17" a="1"/>
  <c r="S77" i="17"/>
  <c r="S78" i="17" a="1"/>
  <c r="S78" i="17" s="1"/>
  <c r="S79" i="17" a="1"/>
  <c r="S79" i="17" s="1"/>
  <c r="S194" i="17" a="1"/>
  <c r="S194" i="17" s="1"/>
  <c r="S224" i="17" a="1"/>
  <c r="S224" i="17" s="1"/>
  <c r="S254" i="17" a="1"/>
  <c r="S254" i="17" s="1"/>
  <c r="S284" i="17" a="1"/>
  <c r="S284" i="17" s="1"/>
  <c r="S314" i="17" a="1"/>
  <c r="S31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95" i="17" a="1"/>
  <c r="S195" i="17" s="1"/>
  <c r="S225" i="17" a="1"/>
  <c r="S225" i="17" s="1"/>
  <c r="S255" i="17" a="1"/>
  <c r="S255" i="17" s="1"/>
  <c r="S285" i="17" a="1"/>
  <c r="S285" i="17" s="1"/>
  <c r="S315" i="17" a="1"/>
  <c r="S31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/>
  <c r="S196" i="17" a="1"/>
  <c r="S196" i="17" s="1"/>
  <c r="S226" i="17" a="1"/>
  <c r="S226" i="17" s="1"/>
  <c r="S256" i="17" a="1"/>
  <c r="S256" i="17" s="1"/>
  <c r="S286" i="17" a="1"/>
  <c r="S286" i="17" s="1"/>
  <c r="S316" i="17" a="1"/>
  <c r="S316" i="17" s="1"/>
  <c r="S92" i="17" a="1"/>
  <c r="S92" i="17" s="1"/>
  <c r="S93" i="17" a="1"/>
  <c r="S93" i="17" s="1"/>
  <c r="S94" i="17" a="1"/>
  <c r="S94" i="17"/>
  <c r="S95" i="17" a="1"/>
  <c r="S95" i="17" s="1"/>
  <c r="S96" i="17" a="1"/>
  <c r="S96" i="17" s="1"/>
  <c r="S97" i="17" a="1"/>
  <c r="S97" i="17" s="1"/>
  <c r="S197" i="17" a="1"/>
  <c r="S197" i="17" s="1"/>
  <c r="S227" i="17" a="1"/>
  <c r="S227" i="17" s="1"/>
  <c r="S257" i="17" a="1"/>
  <c r="S257" i="17" s="1"/>
  <c r="S287" i="17" a="1"/>
  <c r="S287" i="17" s="1"/>
  <c r="S317" i="17" a="1"/>
  <c r="S31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98" i="17" a="1"/>
  <c r="S198" i="17" s="1"/>
  <c r="S228" i="17" a="1"/>
  <c r="S228" i="17" s="1"/>
  <c r="S258" i="17" a="1"/>
  <c r="S258" i="17" s="1"/>
  <c r="S288" i="17" a="1"/>
  <c r="S288" i="17" s="1"/>
  <c r="S318" i="17" a="1"/>
  <c r="S31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/>
  <c r="S109" i="17" a="1"/>
  <c r="S109" i="17" s="1"/>
  <c r="S199" i="17" a="1"/>
  <c r="S199" i="17" s="1"/>
  <c r="S229" i="17" a="1"/>
  <c r="S229" i="17" s="1"/>
  <c r="S259" i="17" a="1"/>
  <c r="S259" i="17" s="1"/>
  <c r="S289" i="17" a="1"/>
  <c r="S289" i="17" s="1"/>
  <c r="S319" i="17" a="1"/>
  <c r="S31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/>
  <c r="S200" i="17" a="1"/>
  <c r="S200" i="17" s="1"/>
  <c r="S230" i="17" a="1"/>
  <c r="S230" i="17" s="1"/>
  <c r="S260" i="17" a="1"/>
  <c r="S260" i="17" s="1"/>
  <c r="S290" i="17" a="1"/>
  <c r="S290" i="17" s="1"/>
  <c r="S320" i="17" a="1"/>
  <c r="S32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01" i="17" a="1"/>
  <c r="S201" i="17" s="1"/>
  <c r="S231" i="17" a="1"/>
  <c r="S231" i="17" s="1"/>
  <c r="S261" i="17" a="1"/>
  <c r="S261" i="17" s="1"/>
  <c r="S291" i="17" a="1"/>
  <c r="S291" i="17" s="1"/>
  <c r="S321" i="17" a="1"/>
  <c r="S32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202" i="17" a="1"/>
  <c r="S202" i="17" s="1"/>
  <c r="S232" i="17" a="1"/>
  <c r="S232" i="17" s="1"/>
  <c r="S262" i="17" a="1"/>
  <c r="S262" i="17" s="1"/>
  <c r="S292" i="17" a="1"/>
  <c r="S292" i="17"/>
  <c r="S322" i="17" a="1"/>
  <c r="S32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203" i="17" a="1"/>
  <c r="S203" i="17" s="1"/>
  <c r="S233" i="17" a="1"/>
  <c r="S233" i="17" s="1"/>
  <c r="S263" i="17" a="1"/>
  <c r="S263" i="17" s="1"/>
  <c r="S293" i="17" a="1"/>
  <c r="S293" i="17" s="1"/>
  <c r="S323" i="17" a="1"/>
  <c r="S323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204" i="17" a="1"/>
  <c r="S204" i="17" s="1"/>
  <c r="S234" i="17" a="1"/>
  <c r="S234" i="17" s="1"/>
  <c r="S264" i="17" a="1"/>
  <c r="S264" i="17" s="1"/>
  <c r="S294" i="17" a="1"/>
  <c r="S294" i="17" s="1"/>
  <c r="S324" i="17" a="1"/>
  <c r="S32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205" i="17" a="1"/>
  <c r="S205" i="17" s="1"/>
  <c r="S235" i="17" a="1"/>
  <c r="S235" i="17" s="1"/>
  <c r="S265" i="17" a="1"/>
  <c r="S265" i="17" s="1"/>
  <c r="S295" i="17" a="1"/>
  <c r="S295" i="17" s="1"/>
  <c r="S325" i="17" a="1"/>
  <c r="S325" i="17" s="1"/>
  <c r="S146" i="17" a="1"/>
  <c r="S146" i="17" s="1"/>
  <c r="S147" i="17" a="1"/>
  <c r="S147" i="17" s="1"/>
  <c r="S148" i="17" a="1"/>
  <c r="S148" i="17" s="1"/>
  <c r="S149" i="17" a="1"/>
  <c r="S149" i="17"/>
  <c r="S150" i="17" a="1"/>
  <c r="S150" i="17" s="1"/>
  <c r="S151" i="17" a="1"/>
  <c r="S151" i="17" s="1"/>
  <c r="S206" i="17" a="1"/>
  <c r="S206" i="17" s="1"/>
  <c r="S236" i="17" a="1"/>
  <c r="S236" i="17" s="1"/>
  <c r="S266" i="17" a="1"/>
  <c r="S266" i="17" s="1"/>
  <c r="S296" i="17" a="1"/>
  <c r="S296" i="17" s="1"/>
  <c r="S326" i="17" a="1"/>
  <c r="S32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207" i="17" a="1"/>
  <c r="S207" i="17" s="1"/>
  <c r="S237" i="17" a="1"/>
  <c r="S237" i="17" s="1"/>
  <c r="S267" i="17" a="1"/>
  <c r="S267" i="17" s="1"/>
  <c r="S297" i="17" a="1"/>
  <c r="S297" i="17" s="1"/>
  <c r="S327" i="17" a="1"/>
  <c r="S32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208" i="17" a="1"/>
  <c r="S208" i="17" s="1"/>
  <c r="S238" i="17" a="1"/>
  <c r="S238" i="17"/>
  <c r="S268" i="17" a="1"/>
  <c r="S268" i="17" s="1"/>
  <c r="S298" i="17" a="1"/>
  <c r="S298" i="17" s="1"/>
  <c r="S328" i="17" a="1"/>
  <c r="S32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209" i="17" a="1"/>
  <c r="S209" i="17" s="1"/>
  <c r="S239" i="17" a="1"/>
  <c r="S239" i="17" s="1"/>
  <c r="S269" i="17" a="1"/>
  <c r="S269" i="17" s="1"/>
  <c r="S299" i="17" a="1"/>
  <c r="S299" i="17" s="1"/>
  <c r="S329" i="17" a="1"/>
  <c r="S329" i="17" s="1"/>
  <c r="S170" i="17" a="1"/>
  <c r="S170" i="17" s="1"/>
  <c r="S171" i="17" a="1"/>
  <c r="S171" i="17" s="1"/>
  <c r="S172" i="17" a="1"/>
  <c r="S172" i="17" s="1"/>
  <c r="S173" i="17" a="1"/>
  <c r="S173" i="17"/>
  <c r="S174" i="17" a="1"/>
  <c r="S174" i="17" s="1"/>
  <c r="S175" i="17" a="1"/>
  <c r="S175" i="17" s="1"/>
  <c r="S210" i="17" a="1"/>
  <c r="S210" i="17" s="1"/>
  <c r="S240" i="17" a="1"/>
  <c r="S240" i="17" s="1"/>
  <c r="S270" i="17" a="1"/>
  <c r="S270" i="17" s="1"/>
  <c r="S300" i="17" a="1"/>
  <c r="S300" i="17" s="1"/>
  <c r="S330" i="17" a="1"/>
  <c r="S33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211" i="17" a="1"/>
  <c r="S211" i="17"/>
  <c r="S241" i="17" a="1"/>
  <c r="S241" i="17" s="1"/>
  <c r="S271" i="17" a="1"/>
  <c r="S271" i="17" s="1"/>
  <c r="S301" i="17" a="1"/>
  <c r="S301" i="17" s="1"/>
  <c r="S331" i="17" a="1"/>
  <c r="S33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182" i="17" a="1"/>
  <c r="T182" i="17" s="1"/>
  <c r="T212" i="17" a="1"/>
  <c r="T212" i="17" s="1"/>
  <c r="T242" i="17" a="1"/>
  <c r="T242" i="17" s="1"/>
  <c r="T272" i="17" a="1"/>
  <c r="T272" i="17" s="1"/>
  <c r="T302" i="17" a="1"/>
  <c r="T302" i="17" s="1"/>
  <c r="T8" i="17" a="1"/>
  <c r="T8" i="17" s="1"/>
  <c r="T9" i="17" a="1"/>
  <c r="T9" i="17" s="1"/>
  <c r="T10" i="17" a="1"/>
  <c r="T10" i="17"/>
  <c r="T11" i="17" a="1"/>
  <c r="T11" i="17" s="1"/>
  <c r="T12" i="17" a="1"/>
  <c r="T12" i="17" s="1"/>
  <c r="T13" i="17" a="1"/>
  <c r="T13" i="17" s="1"/>
  <c r="T183" i="17" a="1"/>
  <c r="T183" i="17" s="1"/>
  <c r="T213" i="17" a="1"/>
  <c r="T213" i="17" s="1"/>
  <c r="T243" i="17" a="1"/>
  <c r="T243" i="17" s="1"/>
  <c r="T273" i="17" a="1"/>
  <c r="T273" i="17" s="1"/>
  <c r="T303" i="17" a="1"/>
  <c r="T30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/>
  <c r="T184" i="17" a="1"/>
  <c r="T184" i="17" s="1"/>
  <c r="T214" i="17" a="1"/>
  <c r="T214" i="17" s="1"/>
  <c r="T244" i="17" a="1"/>
  <c r="T244" i="17" s="1"/>
  <c r="T274" i="17" a="1"/>
  <c r="T274" i="17" s="1"/>
  <c r="T304" i="17" a="1"/>
  <c r="T30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185" i="17" a="1"/>
  <c r="T185" i="17" s="1"/>
  <c r="T215" i="17" a="1"/>
  <c r="T215" i="17" s="1"/>
  <c r="T245" i="17" a="1"/>
  <c r="T245" i="17" s="1"/>
  <c r="T275" i="17" a="1"/>
  <c r="T275" i="17" s="1"/>
  <c r="T305" i="17" a="1"/>
  <c r="T305" i="17" s="1"/>
  <c r="T26" i="17" a="1"/>
  <c r="T26" i="17" s="1"/>
  <c r="T27" i="17" a="1"/>
  <c r="T27" i="17"/>
  <c r="T28" i="17" a="1"/>
  <c r="T28" i="17" s="1"/>
  <c r="T29" i="17" a="1"/>
  <c r="T29" i="17" s="1"/>
  <c r="T30" i="17" a="1"/>
  <c r="T30" i="17" s="1"/>
  <c r="T31" i="17" a="1"/>
  <c r="T31" i="17" s="1"/>
  <c r="T186" i="17" a="1"/>
  <c r="T186" i="17" s="1"/>
  <c r="T216" i="17" a="1"/>
  <c r="T216" i="17" s="1"/>
  <c r="T246" i="17" a="1"/>
  <c r="T246" i="17" s="1"/>
  <c r="T276" i="17" a="1"/>
  <c r="T276" i="17" s="1"/>
  <c r="T306" i="17" a="1"/>
  <c r="T30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/>
  <c r="T37" i="17" a="1"/>
  <c r="T37" i="17" s="1"/>
  <c r="T187" i="17" a="1"/>
  <c r="T187" i="17" s="1"/>
  <c r="T217" i="17" a="1"/>
  <c r="T217" i="17" s="1"/>
  <c r="T247" i="17" a="1"/>
  <c r="T247" i="17" s="1"/>
  <c r="T277" i="17" a="1"/>
  <c r="T277" i="17" s="1"/>
  <c r="T307" i="17" a="1"/>
  <c r="T30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88" i="17" a="1"/>
  <c r="T188" i="17" s="1"/>
  <c r="T218" i="17" a="1"/>
  <c r="T218" i="17" s="1"/>
  <c r="T248" i="17" a="1"/>
  <c r="T248" i="17" s="1"/>
  <c r="T278" i="17" a="1"/>
  <c r="T278" i="17" s="1"/>
  <c r="T308" i="17" a="1"/>
  <c r="T308" i="17" s="1"/>
  <c r="T44" i="17" a="1"/>
  <c r="T44" i="17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189" i="17" a="1"/>
  <c r="T189" i="17" s="1"/>
  <c r="T219" i="17" a="1"/>
  <c r="T219" i="17" s="1"/>
  <c r="T249" i="17" a="1"/>
  <c r="T249" i="17"/>
  <c r="T279" i="17" a="1"/>
  <c r="T279" i="17" s="1"/>
  <c r="T309" i="17" a="1"/>
  <c r="T30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/>
  <c r="T190" i="17" a="1"/>
  <c r="T190" i="17" s="1"/>
  <c r="T220" i="17" a="1"/>
  <c r="T220" i="17" s="1"/>
  <c r="T250" i="17" a="1"/>
  <c r="T250" i="17" s="1"/>
  <c r="T280" i="17" a="1"/>
  <c r="T280" i="17" s="1"/>
  <c r="T310" i="17" a="1"/>
  <c r="T310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191" i="17" a="1"/>
  <c r="T191" i="17" s="1"/>
  <c r="T221" i="17" a="1"/>
  <c r="T221" i="17" s="1"/>
  <c r="T251" i="17" a="1"/>
  <c r="T251" i="17" s="1"/>
  <c r="T281" i="17" a="1"/>
  <c r="T281" i="17" s="1"/>
  <c r="T311" i="17" a="1"/>
  <c r="T31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192" i="17" a="1"/>
  <c r="T192" i="17" s="1"/>
  <c r="T222" i="17" a="1"/>
  <c r="T222" i="17" s="1"/>
  <c r="T252" i="17" a="1"/>
  <c r="T252" i="17" s="1"/>
  <c r="T282" i="17" a="1"/>
  <c r="T282" i="17" s="1"/>
  <c r="T312" i="17" a="1"/>
  <c r="T31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93" i="17" a="1"/>
  <c r="T193" i="17" s="1"/>
  <c r="T223" i="17" a="1"/>
  <c r="T223" i="17" s="1"/>
  <c r="T253" i="17" a="1"/>
  <c r="T253" i="17" s="1"/>
  <c r="T283" i="17" a="1"/>
  <c r="T283" i="17" s="1"/>
  <c r="T313" i="17" a="1"/>
  <c r="T31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/>
  <c r="T194" i="17" a="1"/>
  <c r="T194" i="17" s="1"/>
  <c r="T224" i="17" a="1"/>
  <c r="T224" i="17" s="1"/>
  <c r="T254" i="17" a="1"/>
  <c r="T254" i="17" s="1"/>
  <c r="T284" i="17" a="1"/>
  <c r="T284" i="17" s="1"/>
  <c r="T314" i="17" a="1"/>
  <c r="T31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/>
  <c r="T85" i="17" a="1"/>
  <c r="T85" i="17" s="1"/>
  <c r="T195" i="17" a="1"/>
  <c r="T195" i="17" s="1"/>
  <c r="T225" i="17" a="1"/>
  <c r="T225" i="17" s="1"/>
  <c r="T255" i="17" a="1"/>
  <c r="T255" i="17" s="1"/>
  <c r="T285" i="17" a="1"/>
  <c r="T285" i="17" s="1"/>
  <c r="T315" i="17" a="1"/>
  <c r="T315" i="17" s="1"/>
  <c r="T86" i="17" a="1"/>
  <c r="T86" i="17" s="1"/>
  <c r="T87" i="17" a="1"/>
  <c r="T87" i="17" s="1"/>
  <c r="T88" i="17" a="1"/>
  <c r="T88" i="17" s="1"/>
  <c r="T89" i="17" a="1"/>
  <c r="T89" i="17"/>
  <c r="T90" i="17" a="1"/>
  <c r="T90" i="17" s="1"/>
  <c r="T91" i="17" a="1"/>
  <c r="T91" i="17" s="1"/>
  <c r="T196" i="17" a="1"/>
  <c r="T196" i="17" s="1"/>
  <c r="T226" i="17" a="1"/>
  <c r="T226" i="17" s="1"/>
  <c r="T256" i="17" a="1"/>
  <c r="T256" i="17" s="1"/>
  <c r="T286" i="17" a="1"/>
  <c r="T286" i="17" s="1"/>
  <c r="T316" i="17" a="1"/>
  <c r="T316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97" i="17" a="1"/>
  <c r="T197" i="17" s="1"/>
  <c r="T227" i="17" a="1"/>
  <c r="T227" i="17" s="1"/>
  <c r="T257" i="17" a="1"/>
  <c r="T257" i="17" s="1"/>
  <c r="T287" i="17" a="1"/>
  <c r="T287" i="17" s="1"/>
  <c r="T317" i="17" a="1"/>
  <c r="T31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98" i="17" a="1"/>
  <c r="T198" i="17" s="1"/>
  <c r="T228" i="17" a="1"/>
  <c r="T228" i="17" s="1"/>
  <c r="T258" i="17" a="1"/>
  <c r="T258" i="17" s="1"/>
  <c r="T288" i="17" a="1"/>
  <c r="T288" i="17" s="1"/>
  <c r="T318" i="17" a="1"/>
  <c r="T31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99" i="17" a="1"/>
  <c r="T199" i="17" s="1"/>
  <c r="T229" i="17" a="1"/>
  <c r="T229" i="17" s="1"/>
  <c r="T259" i="17" a="1"/>
  <c r="T259" i="17" s="1"/>
  <c r="T289" i="17" a="1"/>
  <c r="T289" i="17" s="1"/>
  <c r="T319" i="17" a="1"/>
  <c r="T319" i="17" s="1"/>
  <c r="T110" i="17" a="1"/>
  <c r="T110" i="17" s="1"/>
  <c r="T111" i="17" a="1"/>
  <c r="T111" i="17" s="1"/>
  <c r="T112" i="17" a="1"/>
  <c r="T112" i="17" s="1"/>
  <c r="T113" i="17" a="1"/>
  <c r="T113" i="17"/>
  <c r="T114" i="17" a="1"/>
  <c r="T114" i="17" s="1"/>
  <c r="T115" i="17" a="1"/>
  <c r="T115" i="17" s="1"/>
  <c r="T200" i="17" a="1"/>
  <c r="T200" i="17" s="1"/>
  <c r="T230" i="17" a="1"/>
  <c r="T230" i="17" s="1"/>
  <c r="T260" i="17" a="1"/>
  <c r="T260" i="17" s="1"/>
  <c r="T290" i="17" a="1"/>
  <c r="T290" i="17" s="1"/>
  <c r="T320" i="17" a="1"/>
  <c r="T320" i="17" s="1"/>
  <c r="T116" i="17" a="1"/>
  <c r="T116" i="17" s="1"/>
  <c r="T117" i="17" a="1"/>
  <c r="T117" i="17" s="1"/>
  <c r="T118" i="17" a="1"/>
  <c r="T118" i="17"/>
  <c r="T119" i="17" a="1"/>
  <c r="T119" i="17" s="1"/>
  <c r="T120" i="17" a="1"/>
  <c r="T120" i="17" s="1"/>
  <c r="T121" i="17" a="1"/>
  <c r="T121" i="17" s="1"/>
  <c r="T201" i="17" a="1"/>
  <c r="T201" i="17" s="1"/>
  <c r="T231" i="17" a="1"/>
  <c r="T231" i="17" s="1"/>
  <c r="T261" i="17" a="1"/>
  <c r="T261" i="17" s="1"/>
  <c r="T291" i="17" a="1"/>
  <c r="T291" i="17" s="1"/>
  <c r="T321" i="17" a="1"/>
  <c r="T32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/>
  <c r="T202" i="17" a="1"/>
  <c r="T202" i="17" s="1"/>
  <c r="T232" i="17" a="1"/>
  <c r="T232" i="17" s="1"/>
  <c r="T262" i="17" a="1"/>
  <c r="T262" i="17" s="1"/>
  <c r="T292" i="17" a="1"/>
  <c r="T292" i="17" s="1"/>
  <c r="T322" i="17" a="1"/>
  <c r="T32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203" i="17" a="1"/>
  <c r="T203" i="17" s="1"/>
  <c r="T233" i="17" a="1"/>
  <c r="T233" i="17" s="1"/>
  <c r="T263" i="17" a="1"/>
  <c r="T263" i="17" s="1"/>
  <c r="T293" i="17" a="1"/>
  <c r="T293" i="17" s="1"/>
  <c r="T323" i="17" a="1"/>
  <c r="T32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04" i="17" a="1"/>
  <c r="T204" i="17" s="1"/>
  <c r="T234" i="17" a="1"/>
  <c r="T234" i="17" s="1"/>
  <c r="T264" i="17" a="1"/>
  <c r="T264" i="17" s="1"/>
  <c r="T294" i="17" a="1"/>
  <c r="T294" i="17" s="1"/>
  <c r="T324" i="17" a="1"/>
  <c r="T32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/>
  <c r="T145" i="17" a="1"/>
  <c r="T145" i="17" s="1"/>
  <c r="T205" i="17" a="1"/>
  <c r="T205" i="17" s="1"/>
  <c r="T235" i="17" a="1"/>
  <c r="T235" i="17" s="1"/>
  <c r="T265" i="17" a="1"/>
  <c r="T265" i="17" s="1"/>
  <c r="T295" i="17" a="1"/>
  <c r="T295" i="17" s="1"/>
  <c r="T325" i="17" a="1"/>
  <c r="T32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206" i="17" a="1"/>
  <c r="T206" i="17" s="1"/>
  <c r="T236" i="17" a="1"/>
  <c r="T236" i="17" s="1"/>
  <c r="T266" i="17" a="1"/>
  <c r="T266" i="17" s="1"/>
  <c r="T296" i="17" a="1"/>
  <c r="T296" i="17" s="1"/>
  <c r="T326" i="17" a="1"/>
  <c r="T32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237" i="17" a="1"/>
  <c r="T237" i="17" s="1"/>
  <c r="T267" i="17" a="1"/>
  <c r="T267" i="17" s="1"/>
  <c r="T297" i="17" a="1"/>
  <c r="T297" i="17" s="1"/>
  <c r="T327" i="17" a="1"/>
  <c r="T327" i="17" s="1"/>
  <c r="T158" i="17" a="1"/>
  <c r="T158" i="17" s="1"/>
  <c r="T159" i="17" a="1"/>
  <c r="T159" i="17" s="1"/>
  <c r="T160" i="17" a="1"/>
  <c r="T160" i="17" s="1"/>
  <c r="T161" i="17" a="1"/>
  <c r="T161" i="17"/>
  <c r="T162" i="17" a="1"/>
  <c r="T162" i="17" s="1"/>
  <c r="T163" i="17" a="1"/>
  <c r="T163" i="17" s="1"/>
  <c r="T208" i="17" a="1"/>
  <c r="T208" i="17" s="1"/>
  <c r="T238" i="17" a="1"/>
  <c r="T238" i="17" s="1"/>
  <c r="T268" i="17" a="1"/>
  <c r="T268" i="17" s="1"/>
  <c r="T298" i="17" a="1"/>
  <c r="T298" i="17" s="1"/>
  <c r="T328" i="17" a="1"/>
  <c r="T32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209" i="17" a="1"/>
  <c r="T209" i="17" s="1"/>
  <c r="T239" i="17" a="1"/>
  <c r="T239" i="17" s="1"/>
  <c r="T269" i="17" a="1"/>
  <c r="T269" i="17" s="1"/>
  <c r="T299" i="17" a="1"/>
  <c r="T299" i="17" s="1"/>
  <c r="T329" i="17" a="1"/>
  <c r="T32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210" i="17" a="1"/>
  <c r="T210" i="17" s="1"/>
  <c r="T240" i="17" a="1"/>
  <c r="T240" i="17" s="1"/>
  <c r="T270" i="17" a="1"/>
  <c r="T270" i="17" s="1"/>
  <c r="T300" i="17" a="1"/>
  <c r="T300" i="17" s="1"/>
  <c r="T330" i="17" a="1"/>
  <c r="T330" i="17" s="1"/>
  <c r="T176" i="17" a="1"/>
  <c r="T176" i="17" s="1"/>
  <c r="T177" i="17" a="1"/>
  <c r="T177" i="17" s="1"/>
  <c r="T178" i="17" a="1"/>
  <c r="T178" i="17"/>
  <c r="T179" i="17" a="1"/>
  <c r="T179" i="17" s="1"/>
  <c r="T180" i="17" a="1"/>
  <c r="T180" i="17" s="1"/>
  <c r="T181" i="17" a="1"/>
  <c r="T181" i="17" s="1"/>
  <c r="T211" i="17" a="1"/>
  <c r="T211" i="17" s="1"/>
  <c r="T241" i="17" a="1"/>
  <c r="T241" i="17" s="1"/>
  <c r="T271" i="17" a="1"/>
  <c r="T271" i="17" s="1"/>
  <c r="T301" i="17" a="1"/>
  <c r="T301" i="17" s="1"/>
  <c r="T331" i="17" a="1"/>
  <c r="T33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82" i="17" a="1"/>
  <c r="U182" i="17" s="1"/>
  <c r="U212" i="17" a="1"/>
  <c r="U212" i="17" s="1"/>
  <c r="U242" i="17" a="1"/>
  <c r="U242" i="17" s="1"/>
  <c r="U272" i="17" a="1"/>
  <c r="U272" i="17"/>
  <c r="U302" i="17" a="1"/>
  <c r="U302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83" i="17" a="1"/>
  <c r="U183" i="17" s="1"/>
  <c r="U213" i="17" a="1"/>
  <c r="U213" i="17" s="1"/>
  <c r="U243" i="17" a="1"/>
  <c r="U243" i="17" s="1"/>
  <c r="U273" i="17" a="1"/>
  <c r="U273" i="17" s="1"/>
  <c r="U303" i="17" a="1"/>
  <c r="U30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/>
  <c r="U184" i="17" a="1"/>
  <c r="U184" i="17" s="1"/>
  <c r="U214" i="17" a="1"/>
  <c r="U214" i="17" s="1"/>
  <c r="U244" i="17" a="1"/>
  <c r="U244" i="17" s="1"/>
  <c r="U274" i="17" a="1"/>
  <c r="U274" i="17" s="1"/>
  <c r="U304" i="17" a="1"/>
  <c r="U30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85" i="17" a="1"/>
  <c r="U185" i="17" s="1"/>
  <c r="U215" i="17" a="1"/>
  <c r="U215" i="17" s="1"/>
  <c r="U245" i="17" a="1"/>
  <c r="U245" i="17" s="1"/>
  <c r="U275" i="17" a="1"/>
  <c r="U275" i="17" s="1"/>
  <c r="U305" i="17" a="1"/>
  <c r="U305" i="17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86" i="17" a="1"/>
  <c r="U186" i="17" s="1"/>
  <c r="U216" i="17" a="1"/>
  <c r="U216" i="17" s="1"/>
  <c r="U246" i="17" a="1"/>
  <c r="U246" i="17" s="1"/>
  <c r="U276" i="17" a="1"/>
  <c r="U276" i="17" s="1"/>
  <c r="U306" i="17" a="1"/>
  <c r="U30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/>
  <c r="U37" i="17" a="1"/>
  <c r="U37" i="17" s="1"/>
  <c r="U187" i="17" a="1"/>
  <c r="U187" i="17" s="1"/>
  <c r="U217" i="17" a="1"/>
  <c r="U217" i="17" s="1"/>
  <c r="U247" i="17" a="1"/>
  <c r="U247" i="17" s="1"/>
  <c r="U277" i="17" a="1"/>
  <c r="U277" i="17" s="1"/>
  <c r="U307" i="17" a="1"/>
  <c r="U30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188" i="17" a="1"/>
  <c r="U188" i="17" s="1"/>
  <c r="U218" i="17" a="1"/>
  <c r="U218" i="17" s="1"/>
  <c r="U248" i="17" a="1"/>
  <c r="U248" i="17" s="1"/>
  <c r="U278" i="17" a="1"/>
  <c r="U278" i="17" s="1"/>
  <c r="U308" i="17" a="1"/>
  <c r="U30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89" i="17" a="1"/>
  <c r="U189" i="17" s="1"/>
  <c r="U219" i="17" a="1"/>
  <c r="U219" i="17" s="1"/>
  <c r="U249" i="17" a="1"/>
  <c r="U249" i="17" s="1"/>
  <c r="U279" i="17" a="1"/>
  <c r="U279" i="17" s="1"/>
  <c r="U309" i="17" a="1"/>
  <c r="U30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190" i="17" a="1"/>
  <c r="U190" i="17" s="1"/>
  <c r="U220" i="17" a="1"/>
  <c r="U220" i="17" s="1"/>
  <c r="U250" i="17" a="1"/>
  <c r="U250" i="17" s="1"/>
  <c r="U280" i="17" a="1"/>
  <c r="U280" i="17" s="1"/>
  <c r="U310" i="17" a="1"/>
  <c r="U310" i="17" s="1"/>
  <c r="U56" i="17" a="1"/>
  <c r="U56" i="17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91" i="17" a="1"/>
  <c r="U191" i="17" s="1"/>
  <c r="U221" i="17" a="1"/>
  <c r="U221" i="17" s="1"/>
  <c r="U251" i="17" a="1"/>
  <c r="U251" i="17" s="1"/>
  <c r="U281" i="17" a="1"/>
  <c r="U281" i="17" s="1"/>
  <c r="U311" i="17" a="1"/>
  <c r="U311" i="17" s="1"/>
  <c r="U62" i="17" a="1"/>
  <c r="U62" i="17" s="1"/>
  <c r="U63" i="17" a="1"/>
  <c r="U63" i="17" s="1"/>
  <c r="U64" i="17" a="1"/>
  <c r="U64" i="17" s="1"/>
  <c r="U65" i="17" a="1"/>
  <c r="U65" i="17"/>
  <c r="U66" i="17" a="1"/>
  <c r="U66" i="17" s="1"/>
  <c r="U67" i="17" a="1"/>
  <c r="U67" i="17" s="1"/>
  <c r="U192" i="17" a="1"/>
  <c r="U192" i="17" s="1"/>
  <c r="U222" i="17" a="1"/>
  <c r="U222" i="17" s="1"/>
  <c r="U252" i="17" a="1"/>
  <c r="U252" i="17" s="1"/>
  <c r="U282" i="17" a="1"/>
  <c r="U282" i="17" s="1"/>
  <c r="U312" i="17" a="1"/>
  <c r="U31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/>
  <c r="U73" i="17" a="1"/>
  <c r="U73" i="17" s="1"/>
  <c r="U193" i="17" a="1"/>
  <c r="U193" i="17" s="1"/>
  <c r="U223" i="17" a="1"/>
  <c r="U223" i="17" s="1"/>
  <c r="U253" i="17" a="1"/>
  <c r="U253" i="17" s="1"/>
  <c r="U283" i="17" a="1"/>
  <c r="U283" i="17" s="1"/>
  <c r="U313" i="17" a="1"/>
  <c r="U31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/>
  <c r="U194" i="17" a="1"/>
  <c r="U194" i="17" s="1"/>
  <c r="U224" i="17" a="1"/>
  <c r="U224" i="17" s="1"/>
  <c r="U254" i="17" a="1"/>
  <c r="U254" i="17" s="1"/>
  <c r="U284" i="17" a="1"/>
  <c r="U284" i="17" s="1"/>
  <c r="U314" i="17" a="1"/>
  <c r="U314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95" i="17" a="1"/>
  <c r="U195" i="17"/>
  <c r="U225" i="17" a="1"/>
  <c r="U225" i="17" s="1"/>
  <c r="U255" i="17" a="1"/>
  <c r="U255" i="17" s="1"/>
  <c r="U285" i="17" a="1"/>
  <c r="U285" i="17" s="1"/>
  <c r="U315" i="17" a="1"/>
  <c r="U31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96" i="17" a="1"/>
  <c r="U196" i="17" s="1"/>
  <c r="U226" i="17" a="1"/>
  <c r="U226" i="17"/>
  <c r="U256" i="17" a="1"/>
  <c r="U256" i="17" s="1"/>
  <c r="U286" i="17" a="1"/>
  <c r="U286" i="17" s="1"/>
  <c r="U316" i="17" a="1"/>
  <c r="U31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97" i="17" a="1"/>
  <c r="U197" i="17" s="1"/>
  <c r="U227" i="17" a="1"/>
  <c r="U227" i="17" s="1"/>
  <c r="U257" i="17" a="1"/>
  <c r="U257" i="17"/>
  <c r="U287" i="17" a="1"/>
  <c r="U287" i="17" s="1"/>
  <c r="U317" i="17" a="1"/>
  <c r="U31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98" i="17" a="1"/>
  <c r="U198" i="17" s="1"/>
  <c r="U228" i="17" a="1"/>
  <c r="U228" i="17" s="1"/>
  <c r="U258" i="17" a="1"/>
  <c r="U258" i="17" s="1"/>
  <c r="U288" i="17" a="1"/>
  <c r="U288" i="17"/>
  <c r="U318" i="17" a="1"/>
  <c r="U31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99" i="17" a="1"/>
  <c r="U199" i="17" s="1"/>
  <c r="U229" i="17" a="1"/>
  <c r="U229" i="17" s="1"/>
  <c r="U259" i="17" a="1"/>
  <c r="U259" i="17" s="1"/>
  <c r="U289" i="17" a="1"/>
  <c r="U289" i="17" s="1"/>
  <c r="U319" i="17" a="1"/>
  <c r="U319" i="17" s="1"/>
  <c r="U110" i="17" a="1"/>
  <c r="U110" i="17" s="1"/>
  <c r="U111" i="17" a="1"/>
  <c r="U111" i="17" s="1"/>
  <c r="U112" i="17" a="1"/>
  <c r="U112" i="17" s="1"/>
  <c r="U113" i="17" a="1"/>
  <c r="U113" i="17"/>
  <c r="U114" i="17" a="1"/>
  <c r="U114" i="17" s="1"/>
  <c r="U115" i="17" a="1"/>
  <c r="U115" i="17" s="1"/>
  <c r="U200" i="17" a="1"/>
  <c r="U200" i="17" s="1"/>
  <c r="U230" i="17" a="1"/>
  <c r="U230" i="17" s="1"/>
  <c r="U260" i="17" a="1"/>
  <c r="U260" i="17" s="1"/>
  <c r="U290" i="17" a="1"/>
  <c r="U290" i="17" s="1"/>
  <c r="U320" i="17" a="1"/>
  <c r="U32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01" i="17" a="1"/>
  <c r="U201" i="17" s="1"/>
  <c r="U231" i="17" a="1"/>
  <c r="U231" i="17" s="1"/>
  <c r="U261" i="17" a="1"/>
  <c r="U261" i="17"/>
  <c r="U291" i="17" a="1"/>
  <c r="U291" i="17" s="1"/>
  <c r="U321" i="17" a="1"/>
  <c r="U32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202" i="17" a="1"/>
  <c r="U202" i="17" s="1"/>
  <c r="U232" i="17" a="1"/>
  <c r="U232" i="17" s="1"/>
  <c r="U262" i="17" a="1"/>
  <c r="U262" i="17" s="1"/>
  <c r="U292" i="17" a="1"/>
  <c r="U292" i="17" s="1"/>
  <c r="U322" i="17" a="1"/>
  <c r="U32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203" i="17" a="1"/>
  <c r="U203" i="17"/>
  <c r="U233" i="17" a="1"/>
  <c r="U233" i="17" s="1"/>
  <c r="U263" i="17" a="1"/>
  <c r="U263" i="17" s="1"/>
  <c r="U293" i="17" a="1"/>
  <c r="U293" i="17" s="1"/>
  <c r="U323" i="17" a="1"/>
  <c r="U32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204" i="17" a="1"/>
  <c r="U204" i="17" s="1"/>
  <c r="U234" i="17" a="1"/>
  <c r="U234" i="17" s="1"/>
  <c r="U264" i="17" a="1"/>
  <c r="U264" i="17" s="1"/>
  <c r="U294" i="17" a="1"/>
  <c r="U294" i="17" s="1"/>
  <c r="U324" i="17" a="1"/>
  <c r="U324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/>
  <c r="U145" i="17" a="1"/>
  <c r="U145" i="17" s="1"/>
  <c r="U205" i="17" a="1"/>
  <c r="U205" i="17" s="1"/>
  <c r="U235" i="17" a="1"/>
  <c r="U235" i="17" s="1"/>
  <c r="U265" i="17" a="1"/>
  <c r="U265" i="17" s="1"/>
  <c r="U295" i="17" a="1"/>
  <c r="U295" i="17" s="1"/>
  <c r="U325" i="17" a="1"/>
  <c r="U32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06" i="17" a="1"/>
  <c r="U206" i="17" s="1"/>
  <c r="U236" i="17" a="1"/>
  <c r="U236" i="17" s="1"/>
  <c r="U266" i="17" a="1"/>
  <c r="U266" i="17" s="1"/>
  <c r="U296" i="17" a="1"/>
  <c r="U296" i="17"/>
  <c r="U326" i="17" a="1"/>
  <c r="U32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207" i="17" a="1"/>
  <c r="U207" i="17" s="1"/>
  <c r="U237" i="17" a="1"/>
  <c r="U237" i="17" s="1"/>
  <c r="U267" i="17" a="1"/>
  <c r="U267" i="17" s="1"/>
  <c r="U297" i="17" a="1"/>
  <c r="U297" i="17" s="1"/>
  <c r="U327" i="17" a="1"/>
  <c r="U327" i="17" s="1"/>
  <c r="U158" i="17" a="1"/>
  <c r="U158" i="17" s="1"/>
  <c r="U159" i="17" a="1"/>
  <c r="U159" i="17" s="1"/>
  <c r="U160" i="17" a="1"/>
  <c r="U160" i="17" s="1"/>
  <c r="U161" i="17" a="1"/>
  <c r="U161" i="17"/>
  <c r="U162" i="17" a="1"/>
  <c r="U162" i="17" s="1"/>
  <c r="U163" i="17" a="1"/>
  <c r="U163" i="17" s="1"/>
  <c r="U208" i="17" a="1"/>
  <c r="U208" i="17" s="1"/>
  <c r="U238" i="17" a="1"/>
  <c r="U238" i="17" s="1"/>
  <c r="U268" i="17" a="1"/>
  <c r="U268" i="17" s="1"/>
  <c r="U298" i="17" a="1"/>
  <c r="U298" i="17" s="1"/>
  <c r="U328" i="17" a="1"/>
  <c r="U32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209" i="17" a="1"/>
  <c r="U209" i="17" s="1"/>
  <c r="U239" i="17" a="1"/>
  <c r="U239" i="17" s="1"/>
  <c r="U269" i="17" a="1"/>
  <c r="U269" i="17"/>
  <c r="U299" i="17" a="1"/>
  <c r="U299" i="17" s="1"/>
  <c r="U329" i="17" a="1"/>
  <c r="U32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210" i="17" a="1"/>
  <c r="U210" i="17" s="1"/>
  <c r="U240" i="17" a="1"/>
  <c r="U240" i="17" s="1"/>
  <c r="U270" i="17" a="1"/>
  <c r="U270" i="17" s="1"/>
  <c r="U300" i="17" a="1"/>
  <c r="U300" i="17" s="1"/>
  <c r="U330" i="17" a="1"/>
  <c r="U33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211" i="17" a="1"/>
  <c r="U211" i="17"/>
  <c r="U241" i="17" a="1"/>
  <c r="U241" i="17" s="1"/>
  <c r="U271" i="17" a="1"/>
  <c r="U271" i="17" s="1"/>
  <c r="U301" i="17" a="1"/>
  <c r="U301" i="17" s="1"/>
  <c r="U331" i="17" a="1"/>
  <c r="U331" i="17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182" i="17" a="1"/>
  <c r="V182" i="17" s="1"/>
  <c r="V212" i="17" a="1"/>
  <c r="V212" i="17" s="1"/>
  <c r="V242" i="17" a="1"/>
  <c r="V242" i="17" s="1"/>
  <c r="V272" i="17" a="1"/>
  <c r="V272" i="17" s="1"/>
  <c r="V302" i="17" a="1"/>
  <c r="V30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/>
  <c r="V13" i="17" a="1"/>
  <c r="V13" i="17" s="1"/>
  <c r="V183" i="17" a="1"/>
  <c r="V183" i="17" s="1"/>
  <c r="V213" i="17" a="1"/>
  <c r="V213" i="17" s="1"/>
  <c r="V243" i="17" a="1"/>
  <c r="V243" i="17" s="1"/>
  <c r="V273" i="17" a="1"/>
  <c r="V273" i="17" s="1"/>
  <c r="V303" i="17" a="1"/>
  <c r="V30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84" i="17" a="1"/>
  <c r="V184" i="17" s="1"/>
  <c r="V214" i="17" a="1"/>
  <c r="V214" i="17" s="1"/>
  <c r="V244" i="17" a="1"/>
  <c r="V244" i="17"/>
  <c r="V274" i="17" a="1"/>
  <c r="V274" i="17" s="1"/>
  <c r="V304" i="17" a="1"/>
  <c r="V304" i="17" s="1"/>
  <c r="V20" i="17" a="1"/>
  <c r="V20" i="17" s="1"/>
  <c r="V21" i="17" a="1"/>
  <c r="V21" i="17" s="1"/>
  <c r="V22" i="17" a="1"/>
  <c r="V22" i="17" s="1"/>
  <c r="V23" i="17" a="1"/>
  <c r="V23" i="17"/>
  <c r="V24" i="17" a="1"/>
  <c r="V24" i="17" s="1"/>
  <c r="V25" i="17" a="1"/>
  <c r="V25" i="17" s="1"/>
  <c r="V185" i="17" a="1"/>
  <c r="V185" i="17" s="1"/>
  <c r="V215" i="17" a="1"/>
  <c r="V215" i="17" s="1"/>
  <c r="V245" i="17" a="1"/>
  <c r="V245" i="17" s="1"/>
  <c r="V275" i="17" a="1"/>
  <c r="V275" i="17" s="1"/>
  <c r="V305" i="17" a="1"/>
  <c r="V30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/>
  <c r="V31" i="17" a="1"/>
  <c r="V31" i="17" s="1"/>
  <c r="V186" i="17" a="1"/>
  <c r="V186" i="17" s="1"/>
  <c r="V216" i="17" a="1"/>
  <c r="V216" i="17" s="1"/>
  <c r="V246" i="17" a="1"/>
  <c r="V246" i="17"/>
  <c r="V276" i="17" a="1"/>
  <c r="V276" i="17" s="1"/>
  <c r="V306" i="17" a="1"/>
  <c r="V30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87" i="17" a="1"/>
  <c r="V187" i="17" s="1"/>
  <c r="V217" i="17" a="1"/>
  <c r="V217" i="17" s="1"/>
  <c r="V247" i="17" a="1"/>
  <c r="V247" i="17" s="1"/>
  <c r="V277" i="17" a="1"/>
  <c r="V277" i="17"/>
  <c r="V307" i="17" a="1"/>
  <c r="V307" i="17" s="1"/>
  <c r="V38" i="17" a="1"/>
  <c r="V38" i="17" s="1"/>
  <c r="V39" i="17" a="1"/>
  <c r="V39" i="17" s="1"/>
  <c r="V40" i="17" a="1"/>
  <c r="V40" i="17"/>
  <c r="V41" i="17" a="1"/>
  <c r="V41" i="17" s="1"/>
  <c r="V42" i="17" a="1"/>
  <c r="V42" i="17" s="1"/>
  <c r="V43" i="17" a="1"/>
  <c r="V43" i="17" s="1"/>
  <c r="V188" i="17" a="1"/>
  <c r="V188" i="17"/>
  <c r="V218" i="17" a="1"/>
  <c r="V218" i="17" s="1"/>
  <c r="V248" i="17" a="1"/>
  <c r="V248" i="17" s="1"/>
  <c r="V278" i="17" a="1"/>
  <c r="V278" i="17" s="1"/>
  <c r="V308" i="17" a="1"/>
  <c r="V30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219" i="17" a="1"/>
  <c r="V219" i="17"/>
  <c r="V249" i="17" a="1"/>
  <c r="V249" i="17" s="1"/>
  <c r="V279" i="17" a="1"/>
  <c r="V279" i="17" s="1"/>
  <c r="V309" i="17" a="1"/>
  <c r="V309" i="17" s="1"/>
  <c r="V50" i="17" a="1"/>
  <c r="V50" i="17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90" i="17" a="1"/>
  <c r="V190" i="17" s="1"/>
  <c r="V220" i="17" a="1"/>
  <c r="V220" i="17" s="1"/>
  <c r="V250" i="17" a="1"/>
  <c r="V250" i="17"/>
  <c r="V280" i="17" a="1"/>
  <c r="V280" i="17" s="1"/>
  <c r="V310" i="17" a="1"/>
  <c r="V31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91" i="17" a="1"/>
  <c r="V191" i="17" s="1"/>
  <c r="V221" i="17" a="1"/>
  <c r="V221" i="17" s="1"/>
  <c r="V251" i="17" a="1"/>
  <c r="V251" i="17" s="1"/>
  <c r="V281" i="17" a="1"/>
  <c r="V281" i="17"/>
  <c r="V311" i="17" a="1"/>
  <c r="V31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92" i="17" a="1"/>
  <c r="V192" i="17"/>
  <c r="V222" i="17" a="1"/>
  <c r="V222" i="17" s="1"/>
  <c r="V252" i="17" a="1"/>
  <c r="V252" i="17" s="1"/>
  <c r="V282" i="17" a="1"/>
  <c r="V282" i="17" s="1"/>
  <c r="V312" i="17" a="1"/>
  <c r="V312" i="17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93" i="17" a="1"/>
  <c r="V193" i="17" s="1"/>
  <c r="V223" i="17" a="1"/>
  <c r="V223" i="17" s="1"/>
  <c r="V253" i="17" a="1"/>
  <c r="V253" i="17" s="1"/>
  <c r="V283" i="17" a="1"/>
  <c r="V283" i="17" s="1"/>
  <c r="V313" i="17" a="1"/>
  <c r="V31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/>
  <c r="V79" i="17" a="1"/>
  <c r="V79" i="17" s="1"/>
  <c r="V194" i="17" a="1"/>
  <c r="V194" i="17" s="1"/>
  <c r="V224" i="17" a="1"/>
  <c r="V224" i="17" s="1"/>
  <c r="V254" i="17" a="1"/>
  <c r="V254" i="17"/>
  <c r="V284" i="17" a="1"/>
  <c r="V284" i="17" s="1"/>
  <c r="V314" i="17" a="1"/>
  <c r="V314" i="17" s="1"/>
  <c r="V80" i="17" a="1"/>
  <c r="V80" i="17" s="1"/>
  <c r="V81" i="17" a="1"/>
  <c r="V81" i="17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225" i="17" a="1"/>
  <c r="V225" i="17" s="1"/>
  <c r="V255" i="17" a="1"/>
  <c r="V255" i="17" s="1"/>
  <c r="V285" i="17" a="1"/>
  <c r="V285" i="17" s="1"/>
  <c r="V315" i="17" a="1"/>
  <c r="V315" i="17" s="1"/>
  <c r="V86" i="17" a="1"/>
  <c r="V86" i="17" s="1"/>
  <c r="V87" i="17" a="1"/>
  <c r="V87" i="17" s="1"/>
  <c r="V88" i="17" a="1"/>
  <c r="V88" i="17"/>
  <c r="V89" i="17" a="1"/>
  <c r="V89" i="17" s="1"/>
  <c r="V90" i="17" a="1"/>
  <c r="V90" i="17" s="1"/>
  <c r="V91" i="17" a="1"/>
  <c r="V91" i="17" s="1"/>
  <c r="V196" i="17" a="1"/>
  <c r="V196" i="17"/>
  <c r="V226" i="17" a="1"/>
  <c r="V226" i="17" s="1"/>
  <c r="V256" i="17" a="1"/>
  <c r="V256" i="17" s="1"/>
  <c r="V286" i="17" a="1"/>
  <c r="V286" i="17" s="1"/>
  <c r="V316" i="17" a="1"/>
  <c r="V316" i="17" s="1"/>
  <c r="V92" i="17" a="1"/>
  <c r="V92" i="17" s="1"/>
  <c r="V93" i="17" a="1"/>
  <c r="V93" i="17" s="1"/>
  <c r="V94" i="17" a="1"/>
  <c r="V94" i="17" s="1"/>
  <c r="V95" i="17" a="1"/>
  <c r="V95" i="17"/>
  <c r="V96" i="17" a="1"/>
  <c r="V96" i="17" s="1"/>
  <c r="V97" i="17" a="1"/>
  <c r="V97" i="17" s="1"/>
  <c r="V197" i="17" a="1"/>
  <c r="V197" i="17" s="1"/>
  <c r="V227" i="17" a="1"/>
  <c r="V227" i="17" s="1"/>
  <c r="V257" i="17" a="1"/>
  <c r="V257" i="17" s="1"/>
  <c r="V287" i="17" a="1"/>
  <c r="V287" i="17" s="1"/>
  <c r="V317" i="17" a="1"/>
  <c r="V317" i="17" s="1"/>
  <c r="V98" i="17" a="1"/>
  <c r="V98" i="17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98" i="17" a="1"/>
  <c r="V198" i="17" s="1"/>
  <c r="V228" i="17" a="1"/>
  <c r="V228" i="17" s="1"/>
  <c r="V258" i="17" a="1"/>
  <c r="V258" i="17"/>
  <c r="V288" i="17" a="1"/>
  <c r="V288" i="17" s="1"/>
  <c r="V318" i="17" a="1"/>
  <c r="V318" i="17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/>
  <c r="V199" i="17" a="1"/>
  <c r="V199" i="17" s="1"/>
  <c r="V229" i="17" a="1"/>
  <c r="V229" i="17" s="1"/>
  <c r="V259" i="17" a="1"/>
  <c r="V259" i="17" s="1"/>
  <c r="V289" i="17" a="1"/>
  <c r="V289" i="17" s="1"/>
  <c r="V319" i="17" a="1"/>
  <c r="V31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00" i="17" a="1"/>
  <c r="V200" i="17" s="1"/>
  <c r="V230" i="17" a="1"/>
  <c r="V230" i="17" s="1"/>
  <c r="V260" i="17" a="1"/>
  <c r="V260" i="17" s="1"/>
  <c r="V290" i="17" a="1"/>
  <c r="V290" i="17" s="1"/>
  <c r="V320" i="17" a="1"/>
  <c r="V32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01" i="17" a="1"/>
  <c r="V201" i="17" s="1"/>
  <c r="V231" i="17" a="1"/>
  <c r="V231" i="17" s="1"/>
  <c r="V261" i="17" a="1"/>
  <c r="V261" i="17" s="1"/>
  <c r="V291" i="17" a="1"/>
  <c r="V291" i="17" s="1"/>
  <c r="V321" i="17" a="1"/>
  <c r="V32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202" i="17" a="1"/>
  <c r="V202" i="17" s="1"/>
  <c r="V232" i="17" a="1"/>
  <c r="V232" i="17" s="1"/>
  <c r="V262" i="17" a="1"/>
  <c r="V262" i="17" s="1"/>
  <c r="V292" i="17" a="1"/>
  <c r="V292" i="17" s="1"/>
  <c r="V322" i="17" a="1"/>
  <c r="V32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03" i="17" a="1"/>
  <c r="V203" i="17" s="1"/>
  <c r="V233" i="17" a="1"/>
  <c r="V233" i="17" s="1"/>
  <c r="V263" i="17" a="1"/>
  <c r="V263" i="17" s="1"/>
  <c r="V293" i="17" a="1"/>
  <c r="V293" i="17" s="1"/>
  <c r="V323" i="17" a="1"/>
  <c r="V32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04" i="17" a="1"/>
  <c r="V204" i="17" s="1"/>
  <c r="V234" i="17" a="1"/>
  <c r="V234" i="17" s="1"/>
  <c r="V264" i="17" a="1"/>
  <c r="V264" i="17" s="1"/>
  <c r="V294" i="17" a="1"/>
  <c r="V294" i="17" s="1"/>
  <c r="V324" i="17" a="1"/>
  <c r="V324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205" i="17" a="1"/>
  <c r="V205" i="17" s="1"/>
  <c r="V235" i="17" a="1"/>
  <c r="V235" i="17" s="1"/>
  <c r="V265" i="17" a="1"/>
  <c r="V265" i="17" s="1"/>
  <c r="V295" i="17" a="1"/>
  <c r="V295" i="17" s="1"/>
  <c r="V325" i="17" a="1"/>
  <c r="V32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206" i="17" a="1"/>
  <c r="V206" i="17" s="1"/>
  <c r="V236" i="17" a="1"/>
  <c r="V236" i="17" s="1"/>
  <c r="V266" i="17" a="1"/>
  <c r="V266" i="17" s="1"/>
  <c r="V296" i="17" a="1"/>
  <c r="V296" i="17" s="1"/>
  <c r="V326" i="17" a="1"/>
  <c r="V326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207" i="17" a="1"/>
  <c r="V207" i="17" s="1"/>
  <c r="V237" i="17" a="1"/>
  <c r="V237" i="17" s="1"/>
  <c r="V267" i="17" a="1"/>
  <c r="V267" i="17" s="1"/>
  <c r="V297" i="17" a="1"/>
  <c r="V297" i="17" s="1"/>
  <c r="V327" i="17" a="1"/>
  <c r="V32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08" i="17" a="1"/>
  <c r="V208" i="17" s="1"/>
  <c r="V238" i="17" a="1"/>
  <c r="V238" i="17" s="1"/>
  <c r="V268" i="17" a="1"/>
  <c r="V268" i="17" s="1"/>
  <c r="V298" i="17" a="1"/>
  <c r="V298" i="17" s="1"/>
  <c r="V328" i="17" a="1"/>
  <c r="V328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209" i="17" a="1"/>
  <c r="V209" i="17" s="1"/>
  <c r="V239" i="17" a="1"/>
  <c r="V239" i="17" s="1"/>
  <c r="V269" i="17" a="1"/>
  <c r="V269" i="17" s="1"/>
  <c r="V299" i="17" a="1"/>
  <c r="V299" i="17" s="1"/>
  <c r="V329" i="17" a="1"/>
  <c r="V32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210" i="17" a="1"/>
  <c r="V210" i="17" s="1"/>
  <c r="V240" i="17" a="1"/>
  <c r="V240" i="17" s="1"/>
  <c r="V270" i="17" a="1"/>
  <c r="V270" i="17" s="1"/>
  <c r="V300" i="17" a="1"/>
  <c r="V300" i="17" s="1"/>
  <c r="V330" i="17" a="1"/>
  <c r="V33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211" i="17" a="1"/>
  <c r="V211" i="17" s="1"/>
  <c r="V241" i="17" a="1"/>
  <c r="V241" i="17" s="1"/>
  <c r="V271" i="17" a="1"/>
  <c r="V271" i="17" s="1"/>
  <c r="V301" i="17" a="1"/>
  <c r="V301" i="17" s="1"/>
  <c r="V331" i="17" a="1"/>
  <c r="V331" i="17" s="1"/>
  <c r="X2" i="17" a="1"/>
  <c r="X2" i="17" s="1"/>
  <c r="Y2" i="17" s="1"/>
  <c r="Q2" i="17" s="1"/>
  <c r="W2" i="17" s="1"/>
  <c r="X3" i="17" a="1"/>
  <c r="X3" i="17" s="1"/>
  <c r="Y3" i="17" s="1"/>
  <c r="Q3" i="17" s="1"/>
  <c r="W3" i="17" s="1"/>
  <c r="X4" i="17" a="1"/>
  <c r="X4" i="17" s="1"/>
  <c r="Y4" i="17" s="1"/>
  <c r="Q4" i="17" s="1"/>
  <c r="W4" i="17" s="1"/>
  <c r="X5" i="17" a="1"/>
  <c r="X5" i="17" s="1"/>
  <c r="Y5" i="17" s="1"/>
  <c r="Q5" i="17" s="1"/>
  <c r="W5" i="17" s="1"/>
  <c r="X6" i="17" a="1"/>
  <c r="X6" i="17" s="1"/>
  <c r="Y6" i="17" s="1"/>
  <c r="Q6" i="17" s="1"/>
  <c r="W6" i="17" s="1"/>
  <c r="X7" i="17" a="1"/>
  <c r="X7" i="17" s="1"/>
  <c r="Y7" i="17" s="1"/>
  <c r="Q7" i="17" s="1"/>
  <c r="W7" i="17" s="1"/>
  <c r="X182" i="17" a="1"/>
  <c r="X182" i="17" s="1"/>
  <c r="Y182" i="17" s="1"/>
  <c r="Q182" i="17" s="1"/>
  <c r="W182" i="17" s="1"/>
  <c r="X212" i="17" a="1"/>
  <c r="X212" i="17" s="1"/>
  <c r="Y212" i="17" s="1"/>
  <c r="Q212" i="17" s="1"/>
  <c r="W212" i="17" s="1"/>
  <c r="X242" i="17" a="1"/>
  <c r="X242" i="17" s="1"/>
  <c r="Y242" i="17" s="1"/>
  <c r="Q242" i="17" s="1"/>
  <c r="W242" i="17" s="1"/>
  <c r="X272" i="17" a="1"/>
  <c r="X272" i="17" s="1"/>
  <c r="Y272" i="17" s="1"/>
  <c r="Q272" i="17" s="1"/>
  <c r="W272" i="17" s="1"/>
  <c r="X302" i="17" a="1"/>
  <c r="X302" i="17" s="1"/>
  <c r="Y302" i="17" s="1"/>
  <c r="Q302" i="17" s="1"/>
  <c r="W302" i="17" s="1"/>
  <c r="X8" i="17" a="1"/>
  <c r="X8" i="17" s="1"/>
  <c r="Y8" i="17" s="1"/>
  <c r="Q8" i="17" s="1"/>
  <c r="W8" i="17" s="1"/>
  <c r="X9" i="17" a="1"/>
  <c r="X9" i="17" s="1"/>
  <c r="Y9" i="17" s="1"/>
  <c r="Q9" i="17" s="1"/>
  <c r="W9" i="17" s="1"/>
  <c r="X10" i="17" a="1"/>
  <c r="X10" i="17" s="1"/>
  <c r="Y10" i="17" s="1"/>
  <c r="Q10" i="17" s="1"/>
  <c r="W10" i="17" s="1"/>
  <c r="X11" i="17" a="1"/>
  <c r="X11" i="17" s="1"/>
  <c r="Y11" i="17" s="1"/>
  <c r="Q11" i="17" s="1"/>
  <c r="W11" i="17" s="1"/>
  <c r="X12" i="17" a="1"/>
  <c r="X12" i="17" s="1"/>
  <c r="Y12" i="17" s="1"/>
  <c r="Q12" i="17" s="1"/>
  <c r="W12" i="17" s="1"/>
  <c r="X13" i="17" a="1"/>
  <c r="X13" i="17" s="1"/>
  <c r="Y13" i="17" s="1"/>
  <c r="Q13" i="17" s="1"/>
  <c r="W13" i="17" s="1"/>
  <c r="X183" i="17" a="1"/>
  <c r="X183" i="17" s="1"/>
  <c r="Y183" i="17" s="1"/>
  <c r="Q183" i="17" s="1"/>
  <c r="W183" i="17" s="1"/>
  <c r="X213" i="17" a="1"/>
  <c r="X213" i="17" s="1"/>
  <c r="Y213" i="17" s="1"/>
  <c r="Q213" i="17" s="1"/>
  <c r="W213" i="17" s="1"/>
  <c r="X243" i="17" a="1"/>
  <c r="X243" i="17" s="1"/>
  <c r="Y243" i="17" s="1"/>
  <c r="Q243" i="17" s="1"/>
  <c r="W243" i="17" s="1"/>
  <c r="X273" i="17" a="1"/>
  <c r="X273" i="17" s="1"/>
  <c r="Y273" i="17" s="1"/>
  <c r="Q273" i="17" s="1"/>
  <c r="W273" i="17" s="1"/>
  <c r="X303" i="17" a="1"/>
  <c r="X303" i="17" s="1"/>
  <c r="Y303" i="17" s="1"/>
  <c r="Q303" i="17" s="1"/>
  <c r="W303" i="17" s="1"/>
  <c r="X14" i="17" a="1"/>
  <c r="X14" i="17" s="1"/>
  <c r="Y14" i="17" s="1"/>
  <c r="Q14" i="17" s="1"/>
  <c r="W14" i="17" s="1"/>
  <c r="X15" i="17" a="1"/>
  <c r="X15" i="17" s="1"/>
  <c r="Y15" i="17" s="1"/>
  <c r="Q15" i="17" s="1"/>
  <c r="W15" i="17" s="1"/>
  <c r="X16" i="17" a="1"/>
  <c r="X16" i="17" s="1"/>
  <c r="Y16" i="17" s="1"/>
  <c r="Q16" i="17" s="1"/>
  <c r="W16" i="17" s="1"/>
  <c r="X17" i="17" a="1"/>
  <c r="X17" i="17" s="1"/>
  <c r="Y17" i="17" s="1"/>
  <c r="Q17" i="17" s="1"/>
  <c r="W17" i="17" s="1"/>
  <c r="X18" i="17" a="1"/>
  <c r="X18" i="17" s="1"/>
  <c r="Y18" i="17" s="1"/>
  <c r="Q18" i="17" s="1"/>
  <c r="W18" i="17" s="1"/>
  <c r="X19" i="17" a="1"/>
  <c r="X19" i="17" s="1"/>
  <c r="Y19" i="17" s="1"/>
  <c r="Q19" i="17" s="1"/>
  <c r="W19" i="17" s="1"/>
  <c r="X184" i="17" a="1"/>
  <c r="X184" i="17" s="1"/>
  <c r="Y184" i="17" s="1"/>
  <c r="Q184" i="17" s="1"/>
  <c r="W184" i="17" s="1"/>
  <c r="X214" i="17" a="1"/>
  <c r="X214" i="17" s="1"/>
  <c r="Y214" i="17" s="1"/>
  <c r="Q214" i="17" s="1"/>
  <c r="W214" i="17" s="1"/>
  <c r="X244" i="17" a="1"/>
  <c r="X244" i="17" s="1"/>
  <c r="Y244" i="17" s="1"/>
  <c r="Q244" i="17" s="1"/>
  <c r="W244" i="17" s="1"/>
  <c r="X274" i="17" a="1"/>
  <c r="X274" i="17" s="1"/>
  <c r="Y274" i="17" s="1"/>
  <c r="Q274" i="17" s="1"/>
  <c r="W274" i="17" s="1"/>
  <c r="X304" i="17" a="1"/>
  <c r="X304" i="17" s="1"/>
  <c r="Y304" i="17" s="1"/>
  <c r="Q304" i="17" s="1"/>
  <c r="W304" i="17" s="1"/>
  <c r="X20" i="17" a="1"/>
  <c r="X20" i="17" s="1"/>
  <c r="Y20" i="17" s="1"/>
  <c r="Q20" i="17" s="1"/>
  <c r="W20" i="17" s="1"/>
  <c r="X21" i="17" a="1"/>
  <c r="X21" i="17" s="1"/>
  <c r="Y21" i="17" s="1"/>
  <c r="Q21" i="17" s="1"/>
  <c r="W21" i="17" s="1"/>
  <c r="X22" i="17" a="1"/>
  <c r="X22" i="17" s="1"/>
  <c r="Y22" i="17" s="1"/>
  <c r="Q22" i="17" s="1"/>
  <c r="W22" i="17" s="1"/>
  <c r="X23" i="17" a="1"/>
  <c r="X23" i="17" s="1"/>
  <c r="Y23" i="17" s="1"/>
  <c r="Q23" i="17" s="1"/>
  <c r="W23" i="17" s="1"/>
  <c r="X24" i="17" a="1"/>
  <c r="X24" i="17" s="1"/>
  <c r="Y24" i="17" s="1"/>
  <c r="Q24" i="17" s="1"/>
  <c r="W24" i="17" s="1"/>
  <c r="X25" i="17" a="1"/>
  <c r="X25" i="17" s="1"/>
  <c r="Y25" i="17" s="1"/>
  <c r="Q25" i="17" s="1"/>
  <c r="W25" i="17" s="1"/>
  <c r="X185" i="17" a="1"/>
  <c r="X185" i="17" s="1"/>
  <c r="Y185" i="17" s="1"/>
  <c r="Q185" i="17" s="1"/>
  <c r="W185" i="17" s="1"/>
  <c r="X215" i="17" a="1"/>
  <c r="X215" i="17" s="1"/>
  <c r="Y215" i="17" s="1"/>
  <c r="Q215" i="17" s="1"/>
  <c r="W215" i="17" s="1"/>
  <c r="X245" i="17" a="1"/>
  <c r="X245" i="17" s="1"/>
  <c r="Y245" i="17" s="1"/>
  <c r="Q245" i="17" s="1"/>
  <c r="W245" i="17" s="1"/>
  <c r="X275" i="17" a="1"/>
  <c r="X275" i="17" s="1"/>
  <c r="Y275" i="17" s="1"/>
  <c r="Q275" i="17" s="1"/>
  <c r="W275" i="17" s="1"/>
  <c r="X305" i="17" a="1"/>
  <c r="X305" i="17" s="1"/>
  <c r="Y305" i="17" s="1"/>
  <c r="Q305" i="17" s="1"/>
  <c r="W305" i="17" s="1"/>
  <c r="X26" i="17" a="1"/>
  <c r="X26" i="17" s="1"/>
  <c r="Y26" i="17" s="1"/>
  <c r="Q26" i="17" s="1"/>
  <c r="W26" i="17" s="1"/>
  <c r="X27" i="17" a="1"/>
  <c r="X27" i="17" s="1"/>
  <c r="Y27" i="17" s="1"/>
  <c r="Q27" i="17" s="1"/>
  <c r="W27" i="17" s="1"/>
  <c r="X28" i="17" a="1"/>
  <c r="X28" i="17" s="1"/>
  <c r="Y28" i="17" s="1"/>
  <c r="Q28" i="17" s="1"/>
  <c r="W28" i="17" s="1"/>
  <c r="X29" i="17" a="1"/>
  <c r="X29" i="17" s="1"/>
  <c r="Y29" i="17" s="1"/>
  <c r="Q29" i="17" s="1"/>
  <c r="W29" i="17" s="1"/>
  <c r="X30" i="17" a="1"/>
  <c r="X30" i="17" s="1"/>
  <c r="Y30" i="17" s="1"/>
  <c r="Q30" i="17" s="1"/>
  <c r="W30" i="17" s="1"/>
  <c r="X31" i="17" a="1"/>
  <c r="X31" i="17" s="1"/>
  <c r="Y31" i="17" s="1"/>
  <c r="Q31" i="17" s="1"/>
  <c r="W31" i="17" s="1"/>
  <c r="X186" i="17" a="1"/>
  <c r="X186" i="17" s="1"/>
  <c r="Y186" i="17" s="1"/>
  <c r="Q186" i="17" s="1"/>
  <c r="W186" i="17" s="1"/>
  <c r="X216" i="17" a="1"/>
  <c r="X216" i="17" s="1"/>
  <c r="Y216" i="17" s="1"/>
  <c r="Q216" i="17" s="1"/>
  <c r="W216" i="17" s="1"/>
  <c r="X246" i="17" a="1"/>
  <c r="X246" i="17" s="1"/>
  <c r="Y246" i="17" s="1"/>
  <c r="Q246" i="17" s="1"/>
  <c r="W246" i="17" s="1"/>
  <c r="X276" i="17" a="1"/>
  <c r="X276" i="17" s="1"/>
  <c r="Y276" i="17" s="1"/>
  <c r="Q276" i="17" s="1"/>
  <c r="W276" i="17" s="1"/>
  <c r="X306" i="17" a="1"/>
  <c r="X306" i="17" s="1"/>
  <c r="Y306" i="17" s="1"/>
  <c r="Q306" i="17" s="1"/>
  <c r="W306" i="17" s="1"/>
  <c r="X32" i="17" a="1"/>
  <c r="X32" i="17" s="1"/>
  <c r="Y32" i="17" s="1"/>
  <c r="Q32" i="17" s="1"/>
  <c r="W32" i="17" s="1"/>
  <c r="X33" i="17" a="1"/>
  <c r="X33" i="17" s="1"/>
  <c r="Y33" i="17" s="1"/>
  <c r="Q33" i="17" s="1"/>
  <c r="W33" i="17" s="1"/>
  <c r="X34" i="17" a="1"/>
  <c r="X34" i="17" s="1"/>
  <c r="Y34" i="17" s="1"/>
  <c r="Q34" i="17" s="1"/>
  <c r="W34" i="17" s="1"/>
  <c r="X35" i="17" a="1"/>
  <c r="X35" i="17" s="1"/>
  <c r="Y35" i="17" s="1"/>
  <c r="Q35" i="17" s="1"/>
  <c r="W35" i="17" s="1"/>
  <c r="X36" i="17" a="1"/>
  <c r="X36" i="17" s="1"/>
  <c r="Y36" i="17" s="1"/>
  <c r="Q36" i="17" s="1"/>
  <c r="W36" i="17" s="1"/>
  <c r="X37" i="17" a="1"/>
  <c r="X37" i="17" s="1"/>
  <c r="Y37" i="17" s="1"/>
  <c r="Q37" i="17" s="1"/>
  <c r="W37" i="17" s="1"/>
  <c r="X187" i="17" a="1"/>
  <c r="X187" i="17" s="1"/>
  <c r="Y187" i="17" s="1"/>
  <c r="Q187" i="17" s="1"/>
  <c r="W187" i="17" s="1"/>
  <c r="X217" i="17" a="1"/>
  <c r="X217" i="17" s="1"/>
  <c r="Y217" i="17" s="1"/>
  <c r="Q217" i="17" s="1"/>
  <c r="W217" i="17" s="1"/>
  <c r="X247" i="17" a="1"/>
  <c r="X247" i="17" s="1"/>
  <c r="Y247" i="17" s="1"/>
  <c r="Q247" i="17" s="1"/>
  <c r="W247" i="17" s="1"/>
  <c r="X277" i="17" a="1"/>
  <c r="X277" i="17" s="1"/>
  <c r="Y277" i="17" s="1"/>
  <c r="Q277" i="17" s="1"/>
  <c r="W277" i="17" s="1"/>
  <c r="X307" i="17" a="1"/>
  <c r="X307" i="17" s="1"/>
  <c r="Y307" i="17" s="1"/>
  <c r="Q307" i="17" s="1"/>
  <c r="W307" i="17" s="1"/>
  <c r="X38" i="17" a="1"/>
  <c r="X38" i="17" s="1"/>
  <c r="Y38" i="17" s="1"/>
  <c r="Q38" i="17" s="1"/>
  <c r="W38" i="17" s="1"/>
  <c r="X39" i="17" a="1"/>
  <c r="X39" i="17" s="1"/>
  <c r="Y39" i="17" s="1"/>
  <c r="Q39" i="17" s="1"/>
  <c r="W39" i="17" s="1"/>
  <c r="X40" i="17" a="1"/>
  <c r="X40" i="17" s="1"/>
  <c r="Y40" i="17" s="1"/>
  <c r="Q40" i="17" s="1"/>
  <c r="W40" i="17" s="1"/>
  <c r="X41" i="17" a="1"/>
  <c r="X41" i="17" s="1"/>
  <c r="Y41" i="17" s="1"/>
  <c r="Q41" i="17" s="1"/>
  <c r="W41" i="17" s="1"/>
  <c r="X42" i="17" a="1"/>
  <c r="X42" i="17" s="1"/>
  <c r="Y42" i="17" s="1"/>
  <c r="Q42" i="17" s="1"/>
  <c r="W42" i="17" s="1"/>
  <c r="X43" i="17" a="1"/>
  <c r="X43" i="17" s="1"/>
  <c r="Y43" i="17" s="1"/>
  <c r="Q43" i="17" s="1"/>
  <c r="W43" i="17" s="1"/>
  <c r="X188" i="17" a="1"/>
  <c r="X188" i="17" s="1"/>
  <c r="Y188" i="17" s="1"/>
  <c r="Q188" i="17" s="1"/>
  <c r="W188" i="17" s="1"/>
  <c r="X218" i="17" a="1"/>
  <c r="X218" i="17" s="1"/>
  <c r="Y218" i="17" s="1"/>
  <c r="Q218" i="17" s="1"/>
  <c r="W218" i="17" s="1"/>
  <c r="X248" i="17" a="1"/>
  <c r="X248" i="17" s="1"/>
  <c r="Y248" i="17" s="1"/>
  <c r="Q248" i="17" s="1"/>
  <c r="W248" i="17" s="1"/>
  <c r="X278" i="17" a="1"/>
  <c r="X278" i="17" s="1"/>
  <c r="Y278" i="17" s="1"/>
  <c r="Q278" i="17" s="1"/>
  <c r="W278" i="17" s="1"/>
  <c r="X308" i="17" a="1"/>
  <c r="X308" i="17" s="1"/>
  <c r="Y308" i="17" s="1"/>
  <c r="Q308" i="17" s="1"/>
  <c r="W308" i="17" s="1"/>
  <c r="X44" i="17" a="1"/>
  <c r="X44" i="17" s="1"/>
  <c r="Y44" i="17" s="1"/>
  <c r="Q44" i="17" s="1"/>
  <c r="W44" i="17" s="1"/>
  <c r="X45" i="17" a="1"/>
  <c r="X45" i="17" s="1"/>
  <c r="Y45" i="17" s="1"/>
  <c r="Q45" i="17" s="1"/>
  <c r="W45" i="17" s="1"/>
  <c r="X46" i="17" a="1"/>
  <c r="X46" i="17" s="1"/>
  <c r="Y46" i="17" s="1"/>
  <c r="Q46" i="17" s="1"/>
  <c r="W46" i="17" s="1"/>
  <c r="X47" i="17" a="1"/>
  <c r="X47" i="17" s="1"/>
  <c r="Y47" i="17" s="1"/>
  <c r="Q47" i="17" s="1"/>
  <c r="W47" i="17" s="1"/>
  <c r="X48" i="17" a="1"/>
  <c r="X48" i="17" s="1"/>
  <c r="Y48" i="17" s="1"/>
  <c r="Q48" i="17" s="1"/>
  <c r="W48" i="17" s="1"/>
  <c r="X49" i="17" a="1"/>
  <c r="X49" i="17" s="1"/>
  <c r="Y49" i="17" s="1"/>
  <c r="Q49" i="17" s="1"/>
  <c r="W49" i="17" s="1"/>
  <c r="X189" i="17" a="1"/>
  <c r="X189" i="17" s="1"/>
  <c r="Y189" i="17" s="1"/>
  <c r="Q189" i="17" s="1"/>
  <c r="W189" i="17" s="1"/>
  <c r="X219" i="17" a="1"/>
  <c r="X219" i="17" s="1"/>
  <c r="Y219" i="17" s="1"/>
  <c r="Q219" i="17" s="1"/>
  <c r="W219" i="17" s="1"/>
  <c r="X249" i="17" a="1"/>
  <c r="X249" i="17" s="1"/>
  <c r="Y249" i="17" s="1"/>
  <c r="Q249" i="17" s="1"/>
  <c r="W249" i="17" s="1"/>
  <c r="X279" i="17" a="1"/>
  <c r="X279" i="17" s="1"/>
  <c r="Y279" i="17" s="1"/>
  <c r="Q279" i="17" s="1"/>
  <c r="W279" i="17" s="1"/>
  <c r="X309" i="17" a="1"/>
  <c r="X309" i="17" s="1"/>
  <c r="Y309" i="17" s="1"/>
  <c r="Q309" i="17" s="1"/>
  <c r="W309" i="17" s="1"/>
  <c r="X50" i="17" a="1"/>
  <c r="X50" i="17" s="1"/>
  <c r="Y50" i="17" s="1"/>
  <c r="Q50" i="17" s="1"/>
  <c r="W50" i="17" s="1"/>
  <c r="X51" i="17" a="1"/>
  <c r="X51" i="17" s="1"/>
  <c r="Y51" i="17" s="1"/>
  <c r="Q51" i="17" s="1"/>
  <c r="W51" i="17" s="1"/>
  <c r="X52" i="17" a="1"/>
  <c r="X52" i="17" s="1"/>
  <c r="Y52" i="17" s="1"/>
  <c r="Q52" i="17" s="1"/>
  <c r="W52" i="17" s="1"/>
  <c r="X53" i="17" a="1"/>
  <c r="X53" i="17" s="1"/>
  <c r="Y53" i="17" s="1"/>
  <c r="Q53" i="17" s="1"/>
  <c r="W53" i="17" s="1"/>
  <c r="X54" i="17" a="1"/>
  <c r="X54" i="17" s="1"/>
  <c r="Y54" i="17" s="1"/>
  <c r="Q54" i="17" s="1"/>
  <c r="W54" i="17" s="1"/>
  <c r="X55" i="17" a="1"/>
  <c r="X55" i="17" s="1"/>
  <c r="Y55" i="17" s="1"/>
  <c r="Q55" i="17" s="1"/>
  <c r="W55" i="17" s="1"/>
  <c r="X190" i="17" a="1"/>
  <c r="X190" i="17" s="1"/>
  <c r="Y190" i="17" s="1"/>
  <c r="Q190" i="17" s="1"/>
  <c r="W190" i="17" s="1"/>
  <c r="X220" i="17" a="1"/>
  <c r="X220" i="17" s="1"/>
  <c r="Y220" i="17" s="1"/>
  <c r="Q220" i="17" s="1"/>
  <c r="W220" i="17" s="1"/>
  <c r="X250" i="17" a="1"/>
  <c r="X250" i="17" s="1"/>
  <c r="Y250" i="17" s="1"/>
  <c r="Q250" i="17" s="1"/>
  <c r="W250" i="17" s="1"/>
  <c r="X280" i="17" a="1"/>
  <c r="X280" i="17" s="1"/>
  <c r="Y280" i="17" s="1"/>
  <c r="Q280" i="17" s="1"/>
  <c r="W280" i="17" s="1"/>
  <c r="X310" i="17" a="1"/>
  <c r="X310" i="17" s="1"/>
  <c r="Y310" i="17" s="1"/>
  <c r="Q310" i="17" s="1"/>
  <c r="W310" i="17" s="1"/>
  <c r="X56" i="17" a="1"/>
  <c r="X56" i="17" s="1"/>
  <c r="Y56" i="17" s="1"/>
  <c r="Q56" i="17" s="1"/>
  <c r="W56" i="17" s="1"/>
  <c r="X57" i="17" a="1"/>
  <c r="X57" i="17" s="1"/>
  <c r="Y57" i="17" s="1"/>
  <c r="Q57" i="17" s="1"/>
  <c r="W57" i="17" s="1"/>
  <c r="X58" i="17" a="1"/>
  <c r="X58" i="17" s="1"/>
  <c r="Y58" i="17" s="1"/>
  <c r="Q58" i="17" s="1"/>
  <c r="W58" i="17" s="1"/>
  <c r="X59" i="17" a="1"/>
  <c r="X59" i="17" s="1"/>
  <c r="Y59" i="17" s="1"/>
  <c r="Q59" i="17" s="1"/>
  <c r="W59" i="17" s="1"/>
  <c r="X60" i="17" a="1"/>
  <c r="X60" i="17" s="1"/>
  <c r="Y60" i="17" s="1"/>
  <c r="Q60" i="17" s="1"/>
  <c r="W60" i="17" s="1"/>
  <c r="X61" i="17" a="1"/>
  <c r="X61" i="17" s="1"/>
  <c r="Y61" i="17" s="1"/>
  <c r="Q61" i="17" s="1"/>
  <c r="W61" i="17" s="1"/>
  <c r="X191" i="17" a="1"/>
  <c r="X191" i="17" s="1"/>
  <c r="Y191" i="17" s="1"/>
  <c r="Q191" i="17" s="1"/>
  <c r="W191" i="17" s="1"/>
  <c r="X221" i="17" a="1"/>
  <c r="X221" i="17" s="1"/>
  <c r="Y221" i="17" s="1"/>
  <c r="Q221" i="17" s="1"/>
  <c r="W221" i="17" s="1"/>
  <c r="X251" i="17" a="1"/>
  <c r="X251" i="17" s="1"/>
  <c r="Y251" i="17" s="1"/>
  <c r="Q251" i="17" s="1"/>
  <c r="W251" i="17" s="1"/>
  <c r="X281" i="17" a="1"/>
  <c r="X281" i="17" s="1"/>
  <c r="Y281" i="17" s="1"/>
  <c r="Q281" i="17" s="1"/>
  <c r="W281" i="17" s="1"/>
  <c r="X311" i="17" a="1"/>
  <c r="X311" i="17" s="1"/>
  <c r="Y311" i="17" s="1"/>
  <c r="Q311" i="17" s="1"/>
  <c r="W311" i="17" s="1"/>
  <c r="X62" i="17" a="1"/>
  <c r="X62" i="17" s="1"/>
  <c r="Y62" i="17" s="1"/>
  <c r="Q62" i="17" s="1"/>
  <c r="W62" i="17" s="1"/>
  <c r="X63" i="17" a="1"/>
  <c r="X63" i="17" s="1"/>
  <c r="Y63" i="17" s="1"/>
  <c r="Q63" i="17" s="1"/>
  <c r="W63" i="17" s="1"/>
  <c r="X64" i="17" a="1"/>
  <c r="X64" i="17" s="1"/>
  <c r="Y64" i="17" s="1"/>
  <c r="Q64" i="17" s="1"/>
  <c r="W64" i="17" s="1"/>
  <c r="X65" i="17" a="1"/>
  <c r="X65" i="17" s="1"/>
  <c r="Y65" i="17" s="1"/>
  <c r="Q65" i="17" s="1"/>
  <c r="W65" i="17" s="1"/>
  <c r="X66" i="17" a="1"/>
  <c r="X66" i="17" s="1"/>
  <c r="Y66" i="17" s="1"/>
  <c r="Q66" i="17" s="1"/>
  <c r="W66" i="17" s="1"/>
  <c r="X67" i="17" a="1"/>
  <c r="X67" i="17" s="1"/>
  <c r="Y67" i="17" s="1"/>
  <c r="Q67" i="17" s="1"/>
  <c r="W67" i="17" s="1"/>
  <c r="X192" i="17" a="1"/>
  <c r="X192" i="17" s="1"/>
  <c r="Y192" i="17" s="1"/>
  <c r="Q192" i="17" s="1"/>
  <c r="W192" i="17" s="1"/>
  <c r="X222" i="17" a="1"/>
  <c r="X222" i="17" s="1"/>
  <c r="Y222" i="17" s="1"/>
  <c r="Q222" i="17" s="1"/>
  <c r="W222" i="17" s="1"/>
  <c r="X252" i="17" a="1"/>
  <c r="X252" i="17" s="1"/>
  <c r="Y252" i="17" s="1"/>
  <c r="Q252" i="17" s="1"/>
  <c r="W252" i="17" s="1"/>
  <c r="X282" i="17" a="1"/>
  <c r="X282" i="17" s="1"/>
  <c r="Y282" i="17" s="1"/>
  <c r="Q282" i="17" s="1"/>
  <c r="W282" i="17" s="1"/>
  <c r="X312" i="17" a="1"/>
  <c r="X312" i="17" s="1"/>
  <c r="Y312" i="17" s="1"/>
  <c r="Q312" i="17" s="1"/>
  <c r="W312" i="17" s="1"/>
  <c r="X68" i="17" a="1"/>
  <c r="X68" i="17" s="1"/>
  <c r="Y68" i="17" s="1"/>
  <c r="Q68" i="17" s="1"/>
  <c r="W68" i="17" s="1"/>
  <c r="X69" i="17" a="1"/>
  <c r="X69" i="17" s="1"/>
  <c r="Y69" i="17" s="1"/>
  <c r="Q69" i="17" s="1"/>
  <c r="W69" i="17" s="1"/>
  <c r="X70" i="17" a="1"/>
  <c r="X70" i="17" s="1"/>
  <c r="Y70" i="17" s="1"/>
  <c r="Q70" i="17" s="1"/>
  <c r="W70" i="17" s="1"/>
  <c r="X71" i="17" a="1"/>
  <c r="X71" i="17" s="1"/>
  <c r="Y71" i="17" s="1"/>
  <c r="Q71" i="17" s="1"/>
  <c r="W71" i="17" s="1"/>
  <c r="X72" i="17" a="1"/>
  <c r="X72" i="17" s="1"/>
  <c r="Y72" i="17" s="1"/>
  <c r="Q72" i="17" s="1"/>
  <c r="W72" i="17" s="1"/>
  <c r="X73" i="17" a="1"/>
  <c r="X73" i="17" s="1"/>
  <c r="Y73" i="17" s="1"/>
  <c r="Q73" i="17" s="1"/>
  <c r="W73" i="17" s="1"/>
  <c r="X193" i="17" a="1"/>
  <c r="X193" i="17" s="1"/>
  <c r="Y193" i="17" s="1"/>
  <c r="Q193" i="17" s="1"/>
  <c r="W193" i="17" s="1"/>
  <c r="X223" i="17" a="1"/>
  <c r="X223" i="17" s="1"/>
  <c r="Y223" i="17" s="1"/>
  <c r="Q223" i="17" s="1"/>
  <c r="W223" i="17" s="1"/>
  <c r="X253" i="17" a="1"/>
  <c r="X253" i="17" s="1"/>
  <c r="Y253" i="17" s="1"/>
  <c r="Q253" i="17" s="1"/>
  <c r="W253" i="17" s="1"/>
  <c r="X283" i="17" a="1"/>
  <c r="X283" i="17" s="1"/>
  <c r="Y283" i="17" s="1"/>
  <c r="Q283" i="17" s="1"/>
  <c r="W283" i="17" s="1"/>
  <c r="X313" i="17" a="1"/>
  <c r="X313" i="17" s="1"/>
  <c r="Y313" i="17" s="1"/>
  <c r="Q313" i="17" s="1"/>
  <c r="W313" i="17" s="1"/>
  <c r="X74" i="17" a="1"/>
  <c r="X74" i="17" s="1"/>
  <c r="Y74" i="17" s="1"/>
  <c r="Q74" i="17" s="1"/>
  <c r="W74" i="17" s="1"/>
  <c r="X75" i="17" a="1"/>
  <c r="X75" i="17" s="1"/>
  <c r="Y75" i="17" s="1"/>
  <c r="Q75" i="17" s="1"/>
  <c r="W75" i="17" s="1"/>
  <c r="X76" i="17" a="1"/>
  <c r="X76" i="17" s="1"/>
  <c r="Y76" i="17" s="1"/>
  <c r="Q76" i="17" s="1"/>
  <c r="W76" i="17" s="1"/>
  <c r="X77" i="17" a="1"/>
  <c r="X77" i="17" s="1"/>
  <c r="Y77" i="17" s="1"/>
  <c r="Q77" i="17" s="1"/>
  <c r="W77" i="17" s="1"/>
  <c r="X78" i="17" a="1"/>
  <c r="X78" i="17" s="1"/>
  <c r="Y78" i="17" s="1"/>
  <c r="Q78" i="17" s="1"/>
  <c r="W78" i="17" s="1"/>
  <c r="X79" i="17" a="1"/>
  <c r="X79" i="17" s="1"/>
  <c r="Y79" i="17" s="1"/>
  <c r="Q79" i="17" s="1"/>
  <c r="W79" i="17" s="1"/>
  <c r="X194" i="17" a="1"/>
  <c r="X194" i="17" s="1"/>
  <c r="Y194" i="17" s="1"/>
  <c r="Q194" i="17" s="1"/>
  <c r="W194" i="17" s="1"/>
  <c r="X224" i="17" a="1"/>
  <c r="X224" i="17" s="1"/>
  <c r="Y224" i="17" s="1"/>
  <c r="Q224" i="17" s="1"/>
  <c r="W224" i="17" s="1"/>
  <c r="X254" i="17" a="1"/>
  <c r="X254" i="17" s="1"/>
  <c r="Y254" i="17" s="1"/>
  <c r="Q254" i="17" s="1"/>
  <c r="W254" i="17" s="1"/>
  <c r="X284" i="17" a="1"/>
  <c r="X284" i="17" s="1"/>
  <c r="Y284" i="17" s="1"/>
  <c r="Q284" i="17" s="1"/>
  <c r="W284" i="17" s="1"/>
  <c r="X314" i="17" a="1"/>
  <c r="X314" i="17" s="1"/>
  <c r="Y314" i="17" s="1"/>
  <c r="Q314" i="17" s="1"/>
  <c r="W314" i="17" s="1"/>
  <c r="X80" i="17" a="1"/>
  <c r="X80" i="17" s="1"/>
  <c r="Y80" i="17" s="1"/>
  <c r="Q80" i="17" s="1"/>
  <c r="W80" i="17" s="1"/>
  <c r="X81" i="17" a="1"/>
  <c r="X81" i="17" s="1"/>
  <c r="Y81" i="17" s="1"/>
  <c r="Q81" i="17" s="1"/>
  <c r="W81" i="17" s="1"/>
  <c r="X82" i="17" a="1"/>
  <c r="X82" i="17" s="1"/>
  <c r="Y82" i="17" s="1"/>
  <c r="Q82" i="17" s="1"/>
  <c r="W82" i="17" s="1"/>
  <c r="X83" i="17" a="1"/>
  <c r="X83" i="17" s="1"/>
  <c r="Y83" i="17" s="1"/>
  <c r="Q83" i="17" s="1"/>
  <c r="W83" i="17" s="1"/>
  <c r="X84" i="17" a="1"/>
  <c r="X84" i="17" s="1"/>
  <c r="Y84" i="17" s="1"/>
  <c r="Q84" i="17" s="1"/>
  <c r="W84" i="17" s="1"/>
  <c r="X85" i="17" a="1"/>
  <c r="X85" i="17" s="1"/>
  <c r="Y85" i="17" s="1"/>
  <c r="Q85" i="17" s="1"/>
  <c r="W85" i="17" s="1"/>
  <c r="X195" i="17" a="1"/>
  <c r="X195" i="17" s="1"/>
  <c r="Y195" i="17" s="1"/>
  <c r="Q195" i="17" s="1"/>
  <c r="W195" i="17" s="1"/>
  <c r="X225" i="17" a="1"/>
  <c r="X225" i="17" s="1"/>
  <c r="Y225" i="17" s="1"/>
  <c r="Q225" i="17" s="1"/>
  <c r="W225" i="17" s="1"/>
  <c r="X255" i="17" a="1"/>
  <c r="X255" i="17" s="1"/>
  <c r="Y255" i="17" s="1"/>
  <c r="Q255" i="17" s="1"/>
  <c r="W255" i="17" s="1"/>
  <c r="X285" i="17" a="1"/>
  <c r="X285" i="17" s="1"/>
  <c r="Y285" i="17" s="1"/>
  <c r="Q285" i="17" s="1"/>
  <c r="W285" i="17" s="1"/>
  <c r="X315" i="17" a="1"/>
  <c r="X315" i="17" s="1"/>
  <c r="Y315" i="17" s="1"/>
  <c r="Q315" i="17" s="1"/>
  <c r="W315" i="17" s="1"/>
  <c r="X86" i="17" a="1"/>
  <c r="X86" i="17" s="1"/>
  <c r="Y86" i="17" s="1"/>
  <c r="Q86" i="17" s="1"/>
  <c r="W86" i="17" s="1"/>
  <c r="X87" i="17" a="1"/>
  <c r="X87" i="17" s="1"/>
  <c r="Y87" i="17" s="1"/>
  <c r="Q87" i="17" s="1"/>
  <c r="W87" i="17" s="1"/>
  <c r="X88" i="17" a="1"/>
  <c r="X88" i="17" s="1"/>
  <c r="Y88" i="17" s="1"/>
  <c r="Q88" i="17" s="1"/>
  <c r="W88" i="17" s="1"/>
  <c r="X89" i="17" a="1"/>
  <c r="X89" i="17" s="1"/>
  <c r="Y89" i="17" s="1"/>
  <c r="Q89" i="17" s="1"/>
  <c r="W89" i="17" s="1"/>
  <c r="X90" i="17" a="1"/>
  <c r="X90" i="17" s="1"/>
  <c r="Y90" i="17" s="1"/>
  <c r="Q90" i="17" s="1"/>
  <c r="W90" i="17" s="1"/>
  <c r="X91" i="17" a="1"/>
  <c r="X91" i="17" s="1"/>
  <c r="Y91" i="17" s="1"/>
  <c r="Q91" i="17" s="1"/>
  <c r="W91" i="17" s="1"/>
  <c r="X196" i="17" a="1"/>
  <c r="X196" i="17" s="1"/>
  <c r="Y196" i="17" s="1"/>
  <c r="Q196" i="17" s="1"/>
  <c r="W196" i="17" s="1"/>
  <c r="X226" i="17" a="1"/>
  <c r="X226" i="17" s="1"/>
  <c r="Y226" i="17" s="1"/>
  <c r="Q226" i="17" s="1"/>
  <c r="W226" i="17" s="1"/>
  <c r="X256" i="17" a="1"/>
  <c r="X256" i="17" s="1"/>
  <c r="Y256" i="17" s="1"/>
  <c r="Q256" i="17" s="1"/>
  <c r="W256" i="17" s="1"/>
  <c r="X286" i="17" a="1"/>
  <c r="X286" i="17" s="1"/>
  <c r="Y286" i="17" s="1"/>
  <c r="Q286" i="17" s="1"/>
  <c r="W286" i="17" s="1"/>
  <c r="X316" i="17" a="1"/>
  <c r="X316" i="17" s="1"/>
  <c r="Y316" i="17" s="1"/>
  <c r="Q316" i="17" s="1"/>
  <c r="W316" i="17" s="1"/>
  <c r="X92" i="17" a="1"/>
  <c r="X92" i="17" s="1"/>
  <c r="Y92" i="17" s="1"/>
  <c r="Q92" i="17" s="1"/>
  <c r="W92" i="17" s="1"/>
  <c r="X93" i="17" a="1"/>
  <c r="X93" i="17" s="1"/>
  <c r="Y93" i="17" s="1"/>
  <c r="Q93" i="17" s="1"/>
  <c r="W93" i="17" s="1"/>
  <c r="X94" i="17" a="1"/>
  <c r="X94" i="17" s="1"/>
  <c r="Y94" i="17" s="1"/>
  <c r="Q94" i="17" s="1"/>
  <c r="W94" i="17" s="1"/>
  <c r="X95" i="17" a="1"/>
  <c r="X95" i="17" s="1"/>
  <c r="Y95" i="17" s="1"/>
  <c r="Q95" i="17" s="1"/>
  <c r="W95" i="17" s="1"/>
  <c r="X96" i="17" a="1"/>
  <c r="X96" i="17" s="1"/>
  <c r="Y96" i="17" s="1"/>
  <c r="Q96" i="17" s="1"/>
  <c r="W96" i="17" s="1"/>
  <c r="X97" i="17" a="1"/>
  <c r="X97" i="17" s="1"/>
  <c r="Y97" i="17" s="1"/>
  <c r="Q97" i="17" s="1"/>
  <c r="W97" i="17" s="1"/>
  <c r="X197" i="17" a="1"/>
  <c r="X197" i="17" s="1"/>
  <c r="Y197" i="17" s="1"/>
  <c r="Q197" i="17" s="1"/>
  <c r="W197" i="17" s="1"/>
  <c r="X227" i="17" a="1"/>
  <c r="X227" i="17" s="1"/>
  <c r="Y227" i="17" s="1"/>
  <c r="Q227" i="17" s="1"/>
  <c r="W227" i="17" s="1"/>
  <c r="X257" i="17" a="1"/>
  <c r="X257" i="17" s="1"/>
  <c r="Y257" i="17" s="1"/>
  <c r="Q257" i="17" s="1"/>
  <c r="W257" i="17" s="1"/>
  <c r="X287" i="17" a="1"/>
  <c r="X287" i="17" s="1"/>
  <c r="Y287" i="17" s="1"/>
  <c r="Q287" i="17" s="1"/>
  <c r="W287" i="17" s="1"/>
  <c r="X317" i="17" a="1"/>
  <c r="X317" i="17" s="1"/>
  <c r="Y317" i="17" s="1"/>
  <c r="Q317" i="17" s="1"/>
  <c r="W317" i="17" s="1"/>
  <c r="X98" i="17" a="1"/>
  <c r="X98" i="17" s="1"/>
  <c r="Y98" i="17" s="1"/>
  <c r="Q98" i="17" s="1"/>
  <c r="W98" i="17" s="1"/>
  <c r="X99" i="17" a="1"/>
  <c r="X99" i="17" s="1"/>
  <c r="Y99" i="17" s="1"/>
  <c r="Q99" i="17" s="1"/>
  <c r="W99" i="17" s="1"/>
  <c r="X100" i="17" a="1"/>
  <c r="X100" i="17" s="1"/>
  <c r="Y100" i="17" s="1"/>
  <c r="Q100" i="17" s="1"/>
  <c r="W100" i="17" s="1"/>
  <c r="X101" i="17" a="1"/>
  <c r="X101" i="17" s="1"/>
  <c r="Y101" i="17" s="1"/>
  <c r="Q101" i="17" s="1"/>
  <c r="W101" i="17" s="1"/>
  <c r="X102" i="17" a="1"/>
  <c r="X102" i="17" s="1"/>
  <c r="Y102" i="17" s="1"/>
  <c r="Q102" i="17" s="1"/>
  <c r="W102" i="17" s="1"/>
  <c r="X103" i="17" a="1"/>
  <c r="X103" i="17" s="1"/>
  <c r="Y103" i="17" s="1"/>
  <c r="Q103" i="17" s="1"/>
  <c r="W103" i="17" s="1"/>
  <c r="X198" i="17" a="1"/>
  <c r="X198" i="17" s="1"/>
  <c r="Y198" i="17" s="1"/>
  <c r="Q198" i="17" s="1"/>
  <c r="W198" i="17" s="1"/>
  <c r="X228" i="17" a="1"/>
  <c r="X228" i="17" s="1"/>
  <c r="Y228" i="17" s="1"/>
  <c r="Q228" i="17" s="1"/>
  <c r="W228" i="17" s="1"/>
  <c r="X258" i="17" a="1"/>
  <c r="X258" i="17" s="1"/>
  <c r="Y258" i="17" s="1"/>
  <c r="Q258" i="17" s="1"/>
  <c r="W258" i="17" s="1"/>
  <c r="X288" i="17" a="1"/>
  <c r="X288" i="17" s="1"/>
  <c r="Y288" i="17" s="1"/>
  <c r="Q288" i="17" s="1"/>
  <c r="W288" i="17" s="1"/>
  <c r="X318" i="17" a="1"/>
  <c r="X318" i="17" s="1"/>
  <c r="Y318" i="17" s="1"/>
  <c r="Q318" i="17" s="1"/>
  <c r="W318" i="17" s="1"/>
  <c r="X104" i="17" a="1"/>
  <c r="X104" i="17" s="1"/>
  <c r="Y104" i="17" s="1"/>
  <c r="Q104" i="17" s="1"/>
  <c r="W104" i="17" s="1"/>
  <c r="X105" i="17" a="1"/>
  <c r="X105" i="17" s="1"/>
  <c r="Y105" i="17" s="1"/>
  <c r="Q105" i="17" s="1"/>
  <c r="W105" i="17" s="1"/>
  <c r="X106" i="17" a="1"/>
  <c r="X106" i="17" s="1"/>
  <c r="Y106" i="17" s="1"/>
  <c r="Q106" i="17" s="1"/>
  <c r="W106" i="17" s="1"/>
  <c r="X107" i="17" a="1"/>
  <c r="X107" i="17" s="1"/>
  <c r="Y107" i="17" s="1"/>
  <c r="Q107" i="17" s="1"/>
  <c r="W107" i="17" s="1"/>
  <c r="X108" i="17" a="1"/>
  <c r="X108" i="17" s="1"/>
  <c r="Y108" i="17" s="1"/>
  <c r="Q108" i="17" s="1"/>
  <c r="W108" i="17" s="1"/>
  <c r="X109" i="17" a="1"/>
  <c r="X109" i="17" s="1"/>
  <c r="Y109" i="17" s="1"/>
  <c r="Q109" i="17" s="1"/>
  <c r="W109" i="17" s="1"/>
  <c r="X199" i="17" a="1"/>
  <c r="X199" i="17" s="1"/>
  <c r="Y199" i="17" s="1"/>
  <c r="Q199" i="17" s="1"/>
  <c r="W199" i="17" s="1"/>
  <c r="X229" i="17" a="1"/>
  <c r="X229" i="17" s="1"/>
  <c r="Y229" i="17" s="1"/>
  <c r="Q229" i="17" s="1"/>
  <c r="W229" i="17" s="1"/>
  <c r="X259" i="17" a="1"/>
  <c r="X259" i="17" s="1"/>
  <c r="Y259" i="17" s="1"/>
  <c r="Q259" i="17" s="1"/>
  <c r="W259" i="17" s="1"/>
  <c r="X289" i="17" a="1"/>
  <c r="X289" i="17" s="1"/>
  <c r="Y289" i="17" s="1"/>
  <c r="Q289" i="17" s="1"/>
  <c r="W289" i="17" s="1"/>
  <c r="X319" i="17" a="1"/>
  <c r="X319" i="17" s="1"/>
  <c r="Y319" i="17" s="1"/>
  <c r="Q319" i="17" s="1"/>
  <c r="W319" i="17" s="1"/>
  <c r="X110" i="17" a="1"/>
  <c r="X110" i="17" s="1"/>
  <c r="Y110" i="17" s="1"/>
  <c r="Q110" i="17" s="1"/>
  <c r="W110" i="17" s="1"/>
  <c r="X111" i="17" a="1"/>
  <c r="X111" i="17" s="1"/>
  <c r="Y111" i="17" s="1"/>
  <c r="Q111" i="17" s="1"/>
  <c r="W111" i="17" s="1"/>
  <c r="X112" i="17" a="1"/>
  <c r="X112" i="17" s="1"/>
  <c r="Y112" i="17" s="1"/>
  <c r="Q112" i="17" s="1"/>
  <c r="W112" i="17" s="1"/>
  <c r="X113" i="17" a="1"/>
  <c r="X113" i="17" s="1"/>
  <c r="Y113" i="17" s="1"/>
  <c r="Q113" i="17" s="1"/>
  <c r="W113" i="17" s="1"/>
  <c r="X114" i="17" a="1"/>
  <c r="X114" i="17" s="1"/>
  <c r="Y114" i="17" s="1"/>
  <c r="Q114" i="17" s="1"/>
  <c r="W114" i="17" s="1"/>
  <c r="X115" i="17" a="1"/>
  <c r="X115" i="17" s="1"/>
  <c r="Y115" i="17" s="1"/>
  <c r="Q115" i="17" s="1"/>
  <c r="W115" i="17" s="1"/>
  <c r="X200" i="17" a="1"/>
  <c r="X200" i="17" s="1"/>
  <c r="Y200" i="17" s="1"/>
  <c r="Q200" i="17" s="1"/>
  <c r="W200" i="17" s="1"/>
  <c r="X230" i="17" a="1"/>
  <c r="X230" i="17" s="1"/>
  <c r="Y230" i="17" s="1"/>
  <c r="X260" i="17" a="1"/>
  <c r="X260" i="17" s="1"/>
  <c r="Y260" i="17" s="1"/>
  <c r="Q260" i="17" s="1"/>
  <c r="W260" i="17" s="1"/>
  <c r="X290" i="17" a="1"/>
  <c r="X290" i="17" s="1"/>
  <c r="Y290" i="17" s="1"/>
  <c r="Q290" i="17" s="1"/>
  <c r="W290" i="17" s="1"/>
  <c r="X320" i="17" a="1"/>
  <c r="X320" i="17" s="1"/>
  <c r="Y320" i="17" s="1"/>
  <c r="Q320" i="17" s="1"/>
  <c r="W320" i="17" s="1"/>
  <c r="X116" i="17" a="1"/>
  <c r="X116" i="17" s="1"/>
  <c r="Y116" i="17" s="1"/>
  <c r="Q116" i="17" s="1"/>
  <c r="W116" i="17" s="1"/>
  <c r="X117" i="17" a="1"/>
  <c r="X117" i="17" s="1"/>
  <c r="Y117" i="17" s="1"/>
  <c r="Q117" i="17" s="1"/>
  <c r="W117" i="17" s="1"/>
  <c r="X118" i="17" a="1"/>
  <c r="X118" i="17" s="1"/>
  <c r="Y118" i="17" s="1"/>
  <c r="Q118" i="17" s="1"/>
  <c r="W118" i="17" s="1"/>
  <c r="X119" i="17" a="1"/>
  <c r="X119" i="17" s="1"/>
  <c r="Y119" i="17" s="1"/>
  <c r="X120" i="17" a="1"/>
  <c r="X120" i="17" s="1"/>
  <c r="Y120" i="17" s="1"/>
  <c r="Q120" i="17" s="1"/>
  <c r="W120" i="17" s="1"/>
  <c r="X121" i="17" a="1"/>
  <c r="X121" i="17" s="1"/>
  <c r="Y121" i="17" s="1"/>
  <c r="Q121" i="17" s="1"/>
  <c r="W121" i="17" s="1"/>
  <c r="X201" i="17" a="1"/>
  <c r="X201" i="17" s="1"/>
  <c r="Y201" i="17" s="1"/>
  <c r="Q201" i="17" s="1"/>
  <c r="W201" i="17" s="1"/>
  <c r="X231" i="17" a="1"/>
  <c r="X231" i="17" s="1"/>
  <c r="Y231" i="17" s="1"/>
  <c r="Q231" i="17" s="1"/>
  <c r="W231" i="17" s="1"/>
  <c r="X261" i="17" a="1"/>
  <c r="X261" i="17" s="1"/>
  <c r="Y261" i="17" s="1"/>
  <c r="Q261" i="17" s="1"/>
  <c r="W261" i="17" s="1"/>
  <c r="X291" i="17" a="1"/>
  <c r="X291" i="17" s="1"/>
  <c r="Y291" i="17" s="1"/>
  <c r="Q291" i="17" s="1"/>
  <c r="W291" i="17" s="1"/>
  <c r="X321" i="17" a="1"/>
  <c r="X321" i="17" s="1"/>
  <c r="Y321" i="17" s="1"/>
  <c r="Q321" i="17" s="1"/>
  <c r="W321" i="17" s="1"/>
  <c r="X122" i="17" a="1"/>
  <c r="X122" i="17" s="1"/>
  <c r="Y122" i="17" s="1"/>
  <c r="Q122" i="17" s="1"/>
  <c r="W122" i="17" s="1"/>
  <c r="X123" i="17" a="1"/>
  <c r="X123" i="17" s="1"/>
  <c r="Y123" i="17" s="1"/>
  <c r="Q123" i="17" s="1"/>
  <c r="W123" i="17" s="1"/>
  <c r="X124" i="17" a="1"/>
  <c r="X124" i="17" s="1"/>
  <c r="Y124" i="17" s="1"/>
  <c r="Q124" i="17" s="1"/>
  <c r="W124" i="17" s="1"/>
  <c r="X125" i="17" a="1"/>
  <c r="X125" i="17" s="1"/>
  <c r="Y125" i="17" s="1"/>
  <c r="Q125" i="17" s="1"/>
  <c r="W125" i="17" s="1"/>
  <c r="X126" i="17" a="1"/>
  <c r="X126" i="17" s="1"/>
  <c r="Y126" i="17" s="1"/>
  <c r="Q126" i="17" s="1"/>
  <c r="W126" i="17" s="1"/>
  <c r="X127" i="17" a="1"/>
  <c r="X127" i="17" s="1"/>
  <c r="Y127" i="17" s="1"/>
  <c r="Q127" i="17" s="1"/>
  <c r="W127" i="17" s="1"/>
  <c r="X202" i="17" a="1"/>
  <c r="X202" i="17" s="1"/>
  <c r="Y202" i="17" s="1"/>
  <c r="Q202" i="17" s="1"/>
  <c r="W202" i="17" s="1"/>
  <c r="X232" i="17" a="1"/>
  <c r="X232" i="17" s="1"/>
  <c r="Y232" i="17" s="1"/>
  <c r="Q232" i="17" s="1"/>
  <c r="W232" i="17" s="1"/>
  <c r="X262" i="17" a="1"/>
  <c r="X262" i="17" s="1"/>
  <c r="Y262" i="17" s="1"/>
  <c r="Q262" i="17" s="1"/>
  <c r="W262" i="17" s="1"/>
  <c r="X292" i="17" a="1"/>
  <c r="X292" i="17" s="1"/>
  <c r="Y292" i="17" s="1"/>
  <c r="Q292" i="17" s="1"/>
  <c r="W292" i="17" s="1"/>
  <c r="X322" i="17" a="1"/>
  <c r="X322" i="17" s="1"/>
  <c r="Y322" i="17" s="1"/>
  <c r="Q322" i="17" s="1"/>
  <c r="W322" i="17" s="1"/>
  <c r="X128" i="17" a="1"/>
  <c r="X128" i="17" s="1"/>
  <c r="Y128" i="17" s="1"/>
  <c r="Q128" i="17" s="1"/>
  <c r="W128" i="17" s="1"/>
  <c r="X129" i="17" a="1"/>
  <c r="X129" i="17" s="1"/>
  <c r="Y129" i="17" s="1"/>
  <c r="Q129" i="17" s="1"/>
  <c r="W129" i="17" s="1"/>
  <c r="X130" i="17" a="1"/>
  <c r="X130" i="17" s="1"/>
  <c r="Y130" i="17" s="1"/>
  <c r="Q130" i="17" s="1"/>
  <c r="W130" i="17" s="1"/>
  <c r="X131" i="17" a="1"/>
  <c r="X131" i="17" s="1"/>
  <c r="Y131" i="17" s="1"/>
  <c r="X132" i="17" a="1"/>
  <c r="X132" i="17" s="1"/>
  <c r="Y132" i="17" s="1"/>
  <c r="Q132" i="17" s="1"/>
  <c r="W132" i="17" s="1"/>
  <c r="X133" i="17" a="1"/>
  <c r="X133" i="17" s="1"/>
  <c r="Y133" i="17" s="1"/>
  <c r="Q133" i="17" s="1"/>
  <c r="W133" i="17" s="1"/>
  <c r="X203" i="17" a="1"/>
  <c r="X203" i="17" s="1"/>
  <c r="Y203" i="17" s="1"/>
  <c r="Q203" i="17" s="1"/>
  <c r="W203" i="17" s="1"/>
  <c r="X233" i="17" a="1"/>
  <c r="X233" i="17" s="1"/>
  <c r="Y233" i="17" s="1"/>
  <c r="Q233" i="17" s="1"/>
  <c r="W233" i="17" s="1"/>
  <c r="X263" i="17" a="1"/>
  <c r="X263" i="17" s="1"/>
  <c r="Y263" i="17" s="1"/>
  <c r="Q263" i="17" s="1"/>
  <c r="W263" i="17" s="1"/>
  <c r="X293" i="17" a="1"/>
  <c r="X293" i="17" s="1"/>
  <c r="Y293" i="17" s="1"/>
  <c r="Q293" i="17" s="1"/>
  <c r="W293" i="17" s="1"/>
  <c r="X323" i="17" a="1"/>
  <c r="X323" i="17" s="1"/>
  <c r="Y323" i="17" s="1"/>
  <c r="Q323" i="17" s="1"/>
  <c r="W323" i="17" s="1"/>
  <c r="X134" i="17" a="1"/>
  <c r="X134" i="17" s="1"/>
  <c r="Y134" i="17" s="1"/>
  <c r="X135" i="17" a="1"/>
  <c r="X135" i="17" s="1"/>
  <c r="Y135" i="17" s="1"/>
  <c r="Q135" i="17" s="1"/>
  <c r="W135" i="17" s="1"/>
  <c r="X136" i="17" a="1"/>
  <c r="X136" i="17" s="1"/>
  <c r="Y136" i="17" s="1"/>
  <c r="Q136" i="17" s="1"/>
  <c r="W136" i="17" s="1"/>
  <c r="X137" i="17" a="1"/>
  <c r="X137" i="17" s="1"/>
  <c r="Y137" i="17" s="1"/>
  <c r="Q137" i="17" s="1"/>
  <c r="W137" i="17" s="1"/>
  <c r="X138" i="17" a="1"/>
  <c r="X138" i="17" s="1"/>
  <c r="Y138" i="17" s="1"/>
  <c r="Q138" i="17" s="1"/>
  <c r="W138" i="17" s="1"/>
  <c r="X139" i="17" a="1"/>
  <c r="X139" i="17" s="1"/>
  <c r="Y139" i="17" s="1"/>
  <c r="Q139" i="17" s="1"/>
  <c r="W139" i="17" s="1"/>
  <c r="X204" i="17" a="1"/>
  <c r="X204" i="17" s="1"/>
  <c r="Y204" i="17" s="1"/>
  <c r="Q204" i="17" s="1"/>
  <c r="W204" i="17" s="1"/>
  <c r="X234" i="17" a="1"/>
  <c r="X234" i="17" s="1"/>
  <c r="Y234" i="17" s="1"/>
  <c r="Q234" i="17" s="1"/>
  <c r="W234" i="17" s="1"/>
  <c r="X264" i="17" a="1"/>
  <c r="X264" i="17" s="1"/>
  <c r="Y264" i="17" s="1"/>
  <c r="Q264" i="17" s="1"/>
  <c r="W264" i="17" s="1"/>
  <c r="X294" i="17" a="1"/>
  <c r="X294" i="17" s="1"/>
  <c r="Y294" i="17" s="1"/>
  <c r="Q294" i="17" s="1"/>
  <c r="W294" i="17" s="1"/>
  <c r="X324" i="17" a="1"/>
  <c r="X324" i="17" s="1"/>
  <c r="Y324" i="17" s="1"/>
  <c r="Q324" i="17" s="1"/>
  <c r="W324" i="17" s="1"/>
  <c r="X140" i="17" a="1"/>
  <c r="X140" i="17" s="1"/>
  <c r="Y140" i="17" s="1"/>
  <c r="Q140" i="17" s="1"/>
  <c r="W140" i="17" s="1"/>
  <c r="X141" i="17" a="1"/>
  <c r="X141" i="17" s="1"/>
  <c r="Y141" i="17" s="1"/>
  <c r="Q141" i="17" s="1"/>
  <c r="W141" i="17" s="1"/>
  <c r="X142" i="17" a="1"/>
  <c r="X142" i="17" s="1"/>
  <c r="Y142" i="17" s="1"/>
  <c r="Q142" i="17" s="1"/>
  <c r="W142" i="17" s="1"/>
  <c r="X143" i="17" a="1"/>
  <c r="X143" i="17" s="1"/>
  <c r="Y143" i="17" s="1"/>
  <c r="Q143" i="17" s="1"/>
  <c r="W143" i="17" s="1"/>
  <c r="X144" i="17" a="1"/>
  <c r="X144" i="17" s="1"/>
  <c r="Y144" i="17" s="1"/>
  <c r="Q144" i="17" s="1"/>
  <c r="W144" i="17" s="1"/>
  <c r="X145" i="17" a="1"/>
  <c r="X145" i="17" s="1"/>
  <c r="Y145" i="17" s="1"/>
  <c r="Q145" i="17" s="1"/>
  <c r="W145" i="17" s="1"/>
  <c r="X205" i="17" a="1"/>
  <c r="X205" i="17" s="1"/>
  <c r="Y205" i="17" s="1"/>
  <c r="Q205" i="17" s="1"/>
  <c r="W205" i="17" s="1"/>
  <c r="X235" i="17" a="1"/>
  <c r="X235" i="17" s="1"/>
  <c r="Y235" i="17" s="1"/>
  <c r="Q235" i="17" s="1"/>
  <c r="W235" i="17" s="1"/>
  <c r="X265" i="17" a="1"/>
  <c r="X265" i="17" s="1"/>
  <c r="Y265" i="17" s="1"/>
  <c r="Q265" i="17" s="1"/>
  <c r="W265" i="17" s="1"/>
  <c r="X295" i="17" a="1"/>
  <c r="X295" i="17" s="1"/>
  <c r="Y295" i="17" s="1"/>
  <c r="Q295" i="17" s="1"/>
  <c r="W295" i="17" s="1"/>
  <c r="X325" i="17" a="1"/>
  <c r="X325" i="17" s="1"/>
  <c r="Y325" i="17" s="1"/>
  <c r="Q325" i="17" s="1"/>
  <c r="W325" i="17" s="1"/>
  <c r="X146" i="17" a="1"/>
  <c r="X146" i="17" s="1"/>
  <c r="Y146" i="17" s="1"/>
  <c r="Q146" i="17" s="1"/>
  <c r="W146" i="17" s="1"/>
  <c r="X147" i="17" a="1"/>
  <c r="X147" i="17" s="1"/>
  <c r="Y147" i="17" s="1"/>
  <c r="Q147" i="17" s="1"/>
  <c r="W147" i="17" s="1"/>
  <c r="X148" i="17" a="1"/>
  <c r="X148" i="17" s="1"/>
  <c r="Y148" i="17" s="1"/>
  <c r="X149" i="17" a="1"/>
  <c r="X149" i="17" s="1"/>
  <c r="Y149" i="17" s="1"/>
  <c r="Q149" i="17" s="1"/>
  <c r="W149" i="17" s="1"/>
  <c r="X150" i="17" a="1"/>
  <c r="X150" i="17" s="1"/>
  <c r="Y150" i="17" s="1"/>
  <c r="Q150" i="17" s="1"/>
  <c r="W150" i="17" s="1"/>
  <c r="X151" i="17" a="1"/>
  <c r="X151" i="17" s="1"/>
  <c r="Y151" i="17" s="1"/>
  <c r="Q151" i="17" s="1"/>
  <c r="W151" i="17" s="1"/>
  <c r="X206" i="17" a="1"/>
  <c r="X206" i="17" s="1"/>
  <c r="Y206" i="17" s="1"/>
  <c r="Q206" i="17" s="1"/>
  <c r="W206" i="17" s="1"/>
  <c r="X236" i="17" a="1"/>
  <c r="X236" i="17" s="1"/>
  <c r="Y236" i="17" s="1"/>
  <c r="Q236" i="17" s="1"/>
  <c r="W236" i="17" s="1"/>
  <c r="X266" i="17" a="1"/>
  <c r="X266" i="17" s="1"/>
  <c r="Y266" i="17" s="1"/>
  <c r="Q266" i="17" s="1"/>
  <c r="W266" i="17" s="1"/>
  <c r="X296" i="17" a="1"/>
  <c r="X296" i="17" s="1"/>
  <c r="Y296" i="17" s="1"/>
  <c r="Q296" i="17" s="1"/>
  <c r="W296" i="17" s="1"/>
  <c r="X326" i="17" a="1"/>
  <c r="X326" i="17" s="1"/>
  <c r="Y326" i="17" s="1"/>
  <c r="X152" i="17" a="1"/>
  <c r="X152" i="17" s="1"/>
  <c r="Y152" i="17" s="1"/>
  <c r="Q152" i="17" s="1"/>
  <c r="W152" i="17" s="1"/>
  <c r="X153" i="17" a="1"/>
  <c r="X153" i="17" s="1"/>
  <c r="Y153" i="17" s="1"/>
  <c r="Q153" i="17" s="1"/>
  <c r="W153" i="17" s="1"/>
  <c r="X154" i="17" a="1"/>
  <c r="X154" i="17" s="1"/>
  <c r="Y154" i="17" s="1"/>
  <c r="Q154" i="17" s="1"/>
  <c r="W154" i="17" s="1"/>
  <c r="X155" i="17" a="1"/>
  <c r="X155" i="17" s="1"/>
  <c r="Y155" i="17" s="1"/>
  <c r="Q155" i="17" s="1"/>
  <c r="W155" i="17" s="1"/>
  <c r="X156" i="17" a="1"/>
  <c r="X156" i="17" s="1"/>
  <c r="Y156" i="17" s="1"/>
  <c r="Q156" i="17" s="1"/>
  <c r="W156" i="17" s="1"/>
  <c r="X157" i="17" a="1"/>
  <c r="X157" i="17" s="1"/>
  <c r="Y157" i="17" s="1"/>
  <c r="Q157" i="17" s="1"/>
  <c r="W157" i="17" s="1"/>
  <c r="X207" i="17" a="1"/>
  <c r="X207" i="17" s="1"/>
  <c r="Y207" i="17" s="1"/>
  <c r="Q207" i="17" s="1"/>
  <c r="W207" i="17" s="1"/>
  <c r="X237" i="17" a="1"/>
  <c r="X237" i="17" s="1"/>
  <c r="Y237" i="17" s="1"/>
  <c r="Q237" i="17" s="1"/>
  <c r="W237" i="17" s="1"/>
  <c r="X267" i="17" a="1"/>
  <c r="X267" i="17" s="1"/>
  <c r="Y267" i="17" s="1"/>
  <c r="Q267" i="17" s="1"/>
  <c r="W267" i="17" s="1"/>
  <c r="X297" i="17" a="1"/>
  <c r="X297" i="17" s="1"/>
  <c r="Y297" i="17" s="1"/>
  <c r="Q297" i="17" s="1"/>
  <c r="W297" i="17" s="1"/>
  <c r="X327" i="17" a="1"/>
  <c r="X327" i="17" s="1"/>
  <c r="Y327" i="17" s="1"/>
  <c r="Q327" i="17" s="1"/>
  <c r="W327" i="17" s="1"/>
  <c r="X158" i="17" a="1"/>
  <c r="X158" i="17" s="1"/>
  <c r="Y158" i="17" s="1"/>
  <c r="Q158" i="17" s="1"/>
  <c r="W158" i="17" s="1"/>
  <c r="X159" i="17" a="1"/>
  <c r="X159" i="17" s="1"/>
  <c r="Y159" i="17" s="1"/>
  <c r="Q159" i="17" s="1"/>
  <c r="W159" i="17" s="1"/>
  <c r="X160" i="17" a="1"/>
  <c r="X160" i="17" s="1"/>
  <c r="Y160" i="17" s="1"/>
  <c r="Q160" i="17" s="1"/>
  <c r="W160" i="17" s="1"/>
  <c r="X161" i="17" a="1"/>
  <c r="X161" i="17" s="1"/>
  <c r="Y161" i="17" s="1"/>
  <c r="Q161" i="17" s="1"/>
  <c r="W161" i="17" s="1"/>
  <c r="X162" i="17" a="1"/>
  <c r="X162" i="17" s="1"/>
  <c r="Y162" i="17" s="1"/>
  <c r="Q162" i="17" s="1"/>
  <c r="W162" i="17" s="1"/>
  <c r="X163" i="17" a="1"/>
  <c r="X163" i="17" s="1"/>
  <c r="Y163" i="17" s="1"/>
  <c r="Q163" i="17" s="1"/>
  <c r="W163" i="17" s="1"/>
  <c r="X208" i="17" a="1"/>
  <c r="X208" i="17" s="1"/>
  <c r="Y208" i="17" s="1"/>
  <c r="Q208" i="17" s="1"/>
  <c r="W208" i="17" s="1"/>
  <c r="X238" i="17" a="1"/>
  <c r="X238" i="17" s="1"/>
  <c r="Y238" i="17" s="1"/>
  <c r="Q238" i="17" s="1"/>
  <c r="W238" i="17" s="1"/>
  <c r="X268" i="17" a="1"/>
  <c r="X268" i="17" s="1"/>
  <c r="Y268" i="17" s="1"/>
  <c r="Q268" i="17" s="1"/>
  <c r="W268" i="17" s="1"/>
  <c r="X298" i="17" a="1"/>
  <c r="X298" i="17" s="1"/>
  <c r="Y298" i="17" s="1"/>
  <c r="Q298" i="17" s="1"/>
  <c r="W298" i="17" s="1"/>
  <c r="X328" i="17" a="1"/>
  <c r="X328" i="17" s="1"/>
  <c r="Y328" i="17" s="1"/>
  <c r="Q328" i="17" s="1"/>
  <c r="W328" i="17" s="1"/>
  <c r="X164" i="17" a="1"/>
  <c r="X164" i="17" s="1"/>
  <c r="Y164" i="17" s="1"/>
  <c r="Q164" i="17" s="1"/>
  <c r="W164" i="17" s="1"/>
  <c r="X165" i="17" a="1"/>
  <c r="X165" i="17" s="1"/>
  <c r="Y165" i="17" s="1"/>
  <c r="X166" i="17" a="1"/>
  <c r="X166" i="17" s="1"/>
  <c r="Y166" i="17" s="1"/>
  <c r="Q166" i="17" s="1"/>
  <c r="W166" i="17" s="1"/>
  <c r="X167" i="17" a="1"/>
  <c r="X167" i="17" s="1"/>
  <c r="Y167" i="17" s="1"/>
  <c r="Q167" i="17" s="1"/>
  <c r="W167" i="17" s="1"/>
  <c r="X168" i="17" a="1"/>
  <c r="X168" i="17" s="1"/>
  <c r="Y168" i="17" s="1"/>
  <c r="Q168" i="17" s="1"/>
  <c r="W168" i="17" s="1"/>
  <c r="X169" i="17" a="1"/>
  <c r="X169" i="17" s="1"/>
  <c r="Y169" i="17" s="1"/>
  <c r="Q169" i="17" s="1"/>
  <c r="W169" i="17" s="1"/>
  <c r="X209" i="17" a="1"/>
  <c r="X209" i="17" s="1"/>
  <c r="Y209" i="17" s="1"/>
  <c r="Q209" i="17" s="1"/>
  <c r="W209" i="17" s="1"/>
  <c r="X239" i="17" a="1"/>
  <c r="X239" i="17" s="1"/>
  <c r="Y239" i="17" s="1"/>
  <c r="Q239" i="17" s="1"/>
  <c r="W239" i="17" s="1"/>
  <c r="X269" i="17" a="1"/>
  <c r="X269" i="17" s="1"/>
  <c r="Y269" i="17" s="1"/>
  <c r="Q269" i="17" s="1"/>
  <c r="W269" i="17" s="1"/>
  <c r="X299" i="17" a="1"/>
  <c r="X299" i="17" s="1"/>
  <c r="Y299" i="17" s="1"/>
  <c r="X329" i="17" a="1"/>
  <c r="X329" i="17" s="1"/>
  <c r="Y329" i="17" s="1"/>
  <c r="Q329" i="17" s="1"/>
  <c r="W329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172" i="17" a="1"/>
  <c r="X172" i="17" s="1"/>
  <c r="Y172" i="17" s="1"/>
  <c r="Q172" i="17" s="1"/>
  <c r="W172" i="17" s="1"/>
  <c r="X173" i="17" a="1"/>
  <c r="X173" i="17" s="1"/>
  <c r="Y173" i="17" s="1"/>
  <c r="Q173" i="17" s="1"/>
  <c r="W173" i="17" s="1"/>
  <c r="X174" i="17" a="1"/>
  <c r="X174" i="17" s="1"/>
  <c r="Y174" i="17" s="1"/>
  <c r="Q174" i="17" s="1"/>
  <c r="W174" i="17" s="1"/>
  <c r="X175" i="17" a="1"/>
  <c r="X175" i="17" s="1"/>
  <c r="Y175" i="17" s="1"/>
  <c r="Q175" i="17" s="1"/>
  <c r="W175" i="17" s="1"/>
  <c r="X210" i="17" a="1"/>
  <c r="X210" i="17" s="1"/>
  <c r="Y210" i="17" s="1"/>
  <c r="Q210" i="17" s="1"/>
  <c r="W210" i="17" s="1"/>
  <c r="X240" i="17" a="1"/>
  <c r="X240" i="17" s="1"/>
  <c r="Y240" i="17" s="1"/>
  <c r="Q240" i="17" s="1"/>
  <c r="W240" i="17" s="1"/>
  <c r="X270" i="17" a="1"/>
  <c r="X270" i="17" s="1"/>
  <c r="Y270" i="17" s="1"/>
  <c r="Q270" i="17" s="1"/>
  <c r="W270" i="17" s="1"/>
  <c r="X300" i="17" a="1"/>
  <c r="X300" i="17" s="1"/>
  <c r="Y300" i="17" s="1"/>
  <c r="Q300" i="17" s="1"/>
  <c r="W300" i="17" s="1"/>
  <c r="X330" i="17" a="1"/>
  <c r="X330" i="17" s="1"/>
  <c r="Y330" i="17" s="1"/>
  <c r="Q330" i="17" s="1"/>
  <c r="W330" i="17" s="1"/>
  <c r="X176" i="17" a="1"/>
  <c r="X176" i="17" s="1"/>
  <c r="Y176" i="17" s="1"/>
  <c r="Q176" i="17" s="1"/>
  <c r="W176" i="17" s="1"/>
  <c r="X177" i="17" a="1"/>
  <c r="X177" i="17" s="1"/>
  <c r="Y177" i="17" s="1"/>
  <c r="Q177" i="17" s="1"/>
  <c r="W177" i="17" s="1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180" i="17" a="1"/>
  <c r="X180" i="17" s="1"/>
  <c r="Y180" i="17" s="1"/>
  <c r="Q180" i="17" s="1"/>
  <c r="W180" i="17" s="1"/>
  <c r="X181" i="17" a="1"/>
  <c r="X181" i="17" s="1"/>
  <c r="Y181" i="17" s="1"/>
  <c r="Q181" i="17" s="1"/>
  <c r="W181" i="17" s="1"/>
  <c r="X211" i="17" a="1"/>
  <c r="X211" i="17" s="1"/>
  <c r="Y211" i="17" s="1"/>
  <c r="Q211" i="17" s="1"/>
  <c r="W211" i="17" s="1"/>
  <c r="X241" i="17" a="1"/>
  <c r="X241" i="17" s="1"/>
  <c r="Y241" i="17" s="1"/>
  <c r="Q241" i="17" s="1"/>
  <c r="W241" i="17" s="1"/>
  <c r="X271" i="17" a="1"/>
  <c r="X271" i="17" s="1"/>
  <c r="Y271" i="17" s="1"/>
  <c r="Q271" i="17" s="1"/>
  <c r="W271" i="17" s="1"/>
  <c r="X301" i="17" a="1"/>
  <c r="X301" i="17" s="1"/>
  <c r="Y301" i="17" s="1"/>
  <c r="Q301" i="17" s="1"/>
  <c r="W301" i="17" s="1"/>
  <c r="X331" i="17" a="1"/>
  <c r="X331" i="17" s="1"/>
  <c r="Y331" i="17" s="1"/>
  <c r="Q331" i="17" s="1"/>
  <c r="W331" i="17" s="1"/>
  <c r="G2" i="16"/>
  <c r="C24" i="22"/>
  <c r="B24" i="22"/>
  <c r="C21" i="22"/>
  <c r="B21" i="22"/>
  <c r="C18" i="22"/>
  <c r="B18" i="22"/>
  <c r="K20" i="22"/>
  <c r="J20" i="22"/>
  <c r="K17" i="22"/>
  <c r="J17" i="22"/>
  <c r="G23" i="22"/>
  <c r="F23" i="22"/>
  <c r="G20" i="22"/>
  <c r="F20" i="22"/>
  <c r="G17" i="22"/>
  <c r="F17" i="22"/>
  <c r="N165" i="20" l="1"/>
  <c r="N149" i="20"/>
  <c r="N143" i="20"/>
  <c r="N133" i="20"/>
  <c r="N127" i="20"/>
  <c r="N117" i="20"/>
  <c r="N211" i="20"/>
  <c r="N157" i="20"/>
  <c r="N151" i="20"/>
  <c r="N125" i="20"/>
  <c r="N119" i="20"/>
  <c r="N103" i="20"/>
  <c r="J85" i="19" a="1"/>
  <c r="J85" i="19" s="1"/>
  <c r="K85" i="19" a="1"/>
  <c r="K85" i="19" s="1"/>
  <c r="J65" i="19" a="1"/>
  <c r="J65" i="19" s="1"/>
  <c r="J61" i="19" a="1"/>
  <c r="J61" i="19" s="1"/>
  <c r="K61" i="19" a="1"/>
  <c r="K61" i="19" s="1"/>
  <c r="M61" i="19" s="1"/>
  <c r="J57" i="19" a="1"/>
  <c r="J57" i="19" s="1"/>
  <c r="K57" i="19" a="1"/>
  <c r="K57" i="19" s="1"/>
  <c r="M57" i="19" s="1"/>
  <c r="N33" i="19" a="1"/>
  <c r="N33" i="19" s="1"/>
  <c r="N25" i="19" a="1"/>
  <c r="N25" i="19" s="1"/>
  <c r="K25" i="19" a="1"/>
  <c r="K25" i="19" s="1"/>
  <c r="M25" i="19" s="1"/>
  <c r="N21" i="19" a="1"/>
  <c r="N21" i="19" s="1"/>
  <c r="K21" i="19" a="1"/>
  <c r="K21" i="19" s="1"/>
  <c r="M21" i="19" s="1"/>
  <c r="N17" i="19" a="1"/>
  <c r="N17" i="19" s="1"/>
  <c r="K17" i="19" a="1"/>
  <c r="K17" i="19" s="1"/>
  <c r="M17" i="19" s="1"/>
  <c r="J2" i="19" a="1"/>
  <c r="J2" i="19" s="1"/>
  <c r="J6" i="19" a="1"/>
  <c r="J6" i="19" s="1"/>
  <c r="J10" i="19" a="1"/>
  <c r="J10" i="19" s="1"/>
  <c r="J14" i="19" a="1"/>
  <c r="J14" i="19" s="1"/>
  <c r="J18" i="19" a="1"/>
  <c r="J18" i="19" s="1"/>
  <c r="J22" i="19" a="1"/>
  <c r="J22" i="19" s="1"/>
  <c r="J26" i="19" a="1"/>
  <c r="J26" i="19" s="1"/>
  <c r="J30" i="19" a="1"/>
  <c r="J30" i="19" s="1"/>
  <c r="J34" i="19" a="1"/>
  <c r="J34" i="19" s="1"/>
  <c r="J38" i="19" a="1"/>
  <c r="J38" i="19" s="1"/>
  <c r="J42" i="19" a="1"/>
  <c r="J42" i="19" s="1"/>
  <c r="J46" i="19" a="1"/>
  <c r="J46" i="19" s="1"/>
  <c r="J50" i="19" a="1"/>
  <c r="J50" i="19" s="1"/>
  <c r="J64" i="19" a="1"/>
  <c r="J64" i="19" s="1"/>
  <c r="J68" i="19" a="1"/>
  <c r="J68" i="19" s="1"/>
  <c r="J71" i="19" a="1"/>
  <c r="J71" i="19" s="1"/>
  <c r="J75" i="19" a="1"/>
  <c r="J75" i="19" s="1"/>
  <c r="J78" i="19" a="1"/>
  <c r="J78" i="19" s="1"/>
  <c r="J82" i="19" a="1"/>
  <c r="J82" i="19" s="1"/>
  <c r="K2" i="19" a="1"/>
  <c r="K2" i="19" s="1"/>
  <c r="K6" i="19" a="1"/>
  <c r="K6" i="19" s="1"/>
  <c r="K16" i="19" a="1"/>
  <c r="K16" i="19" s="1"/>
  <c r="K20" i="19" a="1"/>
  <c r="K20" i="19" s="1"/>
  <c r="M20" i="19" s="1"/>
  <c r="K23" i="19" a="1"/>
  <c r="K23" i="19" s="1"/>
  <c r="K27" i="19" a="1"/>
  <c r="K27" i="19" s="1"/>
  <c r="K34" i="19" a="1"/>
  <c r="K34" i="19" s="1"/>
  <c r="K38" i="19" a="1"/>
  <c r="K38" i="19" s="1"/>
  <c r="K48" i="19" a="1"/>
  <c r="K48" i="19" s="1"/>
  <c r="K52" i="19" a="1"/>
  <c r="K52" i="19" s="1"/>
  <c r="M52" i="19" s="1"/>
  <c r="K55" i="19" a="1"/>
  <c r="K55" i="19" s="1"/>
  <c r="M55" i="19" s="1"/>
  <c r="K59" i="19" a="1"/>
  <c r="K59" i="19" s="1"/>
  <c r="K66" i="19" a="1"/>
  <c r="K66" i="19" s="1"/>
  <c r="K70" i="19" a="1"/>
  <c r="K70" i="19" s="1"/>
  <c r="K80" i="19" a="1"/>
  <c r="K80" i="19" s="1"/>
  <c r="K84" i="19" a="1"/>
  <c r="K84" i="19" s="1"/>
  <c r="M84" i="19" s="1"/>
  <c r="K87" i="19" a="1"/>
  <c r="K87" i="19" s="1"/>
  <c r="K91" i="19" a="1"/>
  <c r="K91" i="19" s="1"/>
  <c r="J3" i="19" a="1"/>
  <c r="J3" i="19" s="1"/>
  <c r="J7" i="19" a="1"/>
  <c r="J7" i="19" s="1"/>
  <c r="J11" i="19" a="1"/>
  <c r="J11" i="19" s="1"/>
  <c r="J15" i="19" a="1"/>
  <c r="J15" i="19" s="1"/>
  <c r="J19" i="19" a="1"/>
  <c r="J19" i="19" s="1"/>
  <c r="J23" i="19" a="1"/>
  <c r="J23" i="19" s="1"/>
  <c r="J27" i="19" a="1"/>
  <c r="J27" i="19" s="1"/>
  <c r="J31" i="19" a="1"/>
  <c r="J31" i="19" s="1"/>
  <c r="J35" i="19" a="1"/>
  <c r="J35" i="19" s="1"/>
  <c r="J39" i="19" a="1"/>
  <c r="J39" i="19" s="1"/>
  <c r="J43" i="19" a="1"/>
  <c r="J43" i="19" s="1"/>
  <c r="J47" i="19" a="1"/>
  <c r="J47" i="19" s="1"/>
  <c r="J51" i="19" a="1"/>
  <c r="J51" i="19" s="1"/>
  <c r="J54" i="19" a="1"/>
  <c r="J54" i="19" s="1"/>
  <c r="J58" i="19" a="1"/>
  <c r="J58" i="19" s="1"/>
  <c r="J72" i="19" a="1"/>
  <c r="J72" i="19" s="1"/>
  <c r="J76" i="19" a="1"/>
  <c r="J76" i="19" s="1"/>
  <c r="J79" i="19" a="1"/>
  <c r="J79" i="19" s="1"/>
  <c r="J86" i="19" a="1"/>
  <c r="J86" i="19" s="1"/>
  <c r="K3" i="19" a="1"/>
  <c r="K3" i="19" s="1"/>
  <c r="M3" i="19" s="1"/>
  <c r="K10" i="19" a="1"/>
  <c r="K10" i="19" s="1"/>
  <c r="K14" i="19" a="1"/>
  <c r="K14" i="19" s="1"/>
  <c r="K24" i="19" a="1"/>
  <c r="K24" i="19" s="1"/>
  <c r="K28" i="19" a="1"/>
  <c r="K28" i="19" s="1"/>
  <c r="M28" i="19" s="1"/>
  <c r="K31" i="19" a="1"/>
  <c r="K31" i="19" s="1"/>
  <c r="M31" i="19" s="1"/>
  <c r="K35" i="19" a="1"/>
  <c r="K35" i="19" s="1"/>
  <c r="M35" i="19" s="1"/>
  <c r="K42" i="19" a="1"/>
  <c r="K42" i="19" s="1"/>
  <c r="K46" i="19" a="1"/>
  <c r="K46" i="19" s="1"/>
  <c r="M46" i="19" s="1"/>
  <c r="K56" i="19" a="1"/>
  <c r="K56" i="19" s="1"/>
  <c r="K60" i="19" a="1"/>
  <c r="K60" i="19" s="1"/>
  <c r="M60" i="19" s="1"/>
  <c r="K63" i="19" a="1"/>
  <c r="K63" i="19" s="1"/>
  <c r="K67" i="19" a="1"/>
  <c r="K67" i="19" s="1"/>
  <c r="K74" i="19" a="1"/>
  <c r="K74" i="19" s="1"/>
  <c r="K78" i="19" a="1"/>
  <c r="K78" i="19" s="1"/>
  <c r="K88" i="19" a="1"/>
  <c r="K88" i="19" s="1"/>
  <c r="N2" i="19" a="1"/>
  <c r="N2" i="19" s="1"/>
  <c r="J4" i="19" a="1"/>
  <c r="J4" i="19" s="1"/>
  <c r="J8" i="19" a="1"/>
  <c r="J8" i="19" s="1"/>
  <c r="J12" i="19" a="1"/>
  <c r="J12" i="19" s="1"/>
  <c r="J16" i="19" a="1"/>
  <c r="J16" i="19" s="1"/>
  <c r="J20" i="19" a="1"/>
  <c r="J20" i="19" s="1"/>
  <c r="J24" i="19" a="1"/>
  <c r="J24" i="19" s="1"/>
  <c r="J28" i="19" a="1"/>
  <c r="J28" i="19" s="1"/>
  <c r="J32" i="19" a="1"/>
  <c r="J32" i="19" s="1"/>
  <c r="J36" i="19" a="1"/>
  <c r="J36" i="19" s="1"/>
  <c r="J40" i="19" a="1"/>
  <c r="J40" i="19" s="1"/>
  <c r="J44" i="19" a="1"/>
  <c r="J44" i="19" s="1"/>
  <c r="J48" i="19" a="1"/>
  <c r="J48" i="19" s="1"/>
  <c r="J52" i="19" a="1"/>
  <c r="J52" i="19" s="1"/>
  <c r="J55" i="19" a="1"/>
  <c r="J55" i="19" s="1"/>
  <c r="J59" i="19" a="1"/>
  <c r="J59" i="19" s="1"/>
  <c r="J62" i="19" a="1"/>
  <c r="J62" i="19" s="1"/>
  <c r="J66" i="19" a="1"/>
  <c r="J66" i="19" s="1"/>
  <c r="J80" i="19" a="1"/>
  <c r="J80" i="19" s="1"/>
  <c r="J83" i="19" a="1"/>
  <c r="J83" i="19" s="1"/>
  <c r="J87" i="19" a="1"/>
  <c r="J87" i="19" s="1"/>
  <c r="J90" i="19" a="1"/>
  <c r="J90" i="19" s="1"/>
  <c r="K4" i="19" a="1"/>
  <c r="K4" i="19" s="1"/>
  <c r="M4" i="19" s="1"/>
  <c r="K7" i="19" a="1"/>
  <c r="K7" i="19" s="1"/>
  <c r="K11" i="19" a="1"/>
  <c r="K11" i="19" s="1"/>
  <c r="M11" i="19" s="1"/>
  <c r="K18" i="19" a="1"/>
  <c r="K18" i="19" s="1"/>
  <c r="K22" i="19" a="1"/>
  <c r="K22" i="19" s="1"/>
  <c r="M22" i="19" s="1"/>
  <c r="K32" i="19" a="1"/>
  <c r="K32" i="19" s="1"/>
  <c r="K36" i="19" a="1"/>
  <c r="K36" i="19" s="1"/>
  <c r="M36" i="19" s="1"/>
  <c r="K39" i="19" a="1"/>
  <c r="K39" i="19" s="1"/>
  <c r="K43" i="19" a="1"/>
  <c r="K43" i="19" s="1"/>
  <c r="K50" i="19" a="1"/>
  <c r="K50" i="19" s="1"/>
  <c r="K54" i="19" a="1"/>
  <c r="K54" i="19" s="1"/>
  <c r="M54" i="19" s="1"/>
  <c r="K64" i="19" a="1"/>
  <c r="K64" i="19" s="1"/>
  <c r="K68" i="19" a="1"/>
  <c r="K68" i="19" s="1"/>
  <c r="K71" i="19" a="1"/>
  <c r="K71" i="19" s="1"/>
  <c r="K75" i="19" a="1"/>
  <c r="K75" i="19" s="1"/>
  <c r="K82" i="19" a="1"/>
  <c r="K82" i="19" s="1"/>
  <c r="K86" i="19" a="1"/>
  <c r="K86" i="19" s="1"/>
  <c r="N11" i="19" a="1"/>
  <c r="N11" i="19" s="1"/>
  <c r="N15" i="19" a="1"/>
  <c r="N15" i="19" s="1"/>
  <c r="N19" i="19" a="1"/>
  <c r="N19" i="19" s="1"/>
  <c r="N23" i="19" a="1"/>
  <c r="N23" i="19" s="1"/>
  <c r="N27" i="19" a="1"/>
  <c r="N27" i="19" s="1"/>
  <c r="N31" i="19" a="1"/>
  <c r="N31" i="19" s="1"/>
  <c r="N35" i="19" a="1"/>
  <c r="N35" i="19" s="1"/>
  <c r="N39" i="19" a="1"/>
  <c r="N39" i="19" s="1"/>
  <c r="N43" i="19" a="1"/>
  <c r="N43" i="19" s="1"/>
  <c r="N47" i="19" a="1"/>
  <c r="N47" i="19" s="1"/>
  <c r="N51" i="19" a="1"/>
  <c r="N51" i="19" s="1"/>
  <c r="N55" i="19" a="1"/>
  <c r="N55" i="19" s="1"/>
  <c r="O88" i="19" a="1"/>
  <c r="O88" i="19" s="1"/>
  <c r="O80" i="19" a="1"/>
  <c r="O80" i="19" s="1"/>
  <c r="O76" i="19" a="1"/>
  <c r="O76" i="19" s="1"/>
  <c r="O72" i="19" a="1"/>
  <c r="O72" i="19" s="1"/>
  <c r="O64" i="19" a="1"/>
  <c r="O64" i="19" s="1"/>
  <c r="O60" i="19" a="1"/>
  <c r="O60" i="19" s="1"/>
  <c r="O56" i="19" a="1"/>
  <c r="O56" i="19" s="1"/>
  <c r="O52" i="19" a="1"/>
  <c r="O52" i="19" s="1"/>
  <c r="O48" i="19" a="1"/>
  <c r="O48" i="19" s="1"/>
  <c r="O44" i="19" a="1"/>
  <c r="O44" i="19" s="1"/>
  <c r="O40" i="19" a="1"/>
  <c r="O40" i="19" s="1"/>
  <c r="O36" i="19" a="1"/>
  <c r="O36" i="19" s="1"/>
  <c r="O32" i="19" a="1"/>
  <c r="O32" i="19" s="1"/>
  <c r="O28" i="19" a="1"/>
  <c r="O28" i="19" s="1"/>
  <c r="O24" i="19" a="1"/>
  <c r="O24" i="19" s="1"/>
  <c r="O20" i="19" a="1"/>
  <c r="O20" i="19" s="1"/>
  <c r="O16" i="19" a="1"/>
  <c r="O16" i="19" s="1"/>
  <c r="O12" i="19" a="1"/>
  <c r="O12" i="19" s="1"/>
  <c r="O8" i="19" a="1"/>
  <c r="O8" i="19" s="1"/>
  <c r="O4" i="19" a="1"/>
  <c r="O4" i="19" s="1"/>
  <c r="N90" i="19" a="1"/>
  <c r="N90" i="19" s="1"/>
  <c r="N86" i="19" a="1"/>
  <c r="N86" i="19" s="1"/>
  <c r="N82" i="19" a="1"/>
  <c r="N82" i="19" s="1"/>
  <c r="N78" i="19" a="1"/>
  <c r="N78" i="19" s="1"/>
  <c r="N74" i="19" a="1"/>
  <c r="N74" i="19" s="1"/>
  <c r="N70" i="19" a="1"/>
  <c r="N70" i="19" s="1"/>
  <c r="N66" i="19" a="1"/>
  <c r="N66" i="19" s="1"/>
  <c r="N62" i="19" a="1"/>
  <c r="N62" i="19" s="1"/>
  <c r="N58" i="19" a="1"/>
  <c r="N58" i="19" s="1"/>
  <c r="N46" i="19" a="1"/>
  <c r="N46" i="19" s="1"/>
  <c r="N38" i="19" a="1"/>
  <c r="N38" i="19" s="1"/>
  <c r="N30" i="19" a="1"/>
  <c r="N30" i="19" s="1"/>
  <c r="N22" i="19" a="1"/>
  <c r="N22" i="19" s="1"/>
  <c r="N14" i="19" a="1"/>
  <c r="N14" i="19" s="1"/>
  <c r="N8" i="19" a="1"/>
  <c r="N8" i="19" s="1"/>
  <c r="N4" i="19" a="1"/>
  <c r="N4" i="19" s="1"/>
  <c r="M42" i="19"/>
  <c r="M38" i="19"/>
  <c r="M10" i="19"/>
  <c r="M6" i="19"/>
  <c r="K83" i="19" a="1"/>
  <c r="K83" i="19" s="1"/>
  <c r="K40" i="19" a="1"/>
  <c r="K40" i="19" s="1"/>
  <c r="K26" i="19" a="1"/>
  <c r="K26" i="19" s="1"/>
  <c r="K12" i="19" a="1"/>
  <c r="K12" i="19" s="1"/>
  <c r="M12" i="19" s="1"/>
  <c r="J88" i="19" a="1"/>
  <c r="J88" i="19" s="1"/>
  <c r="J74" i="19" a="1"/>
  <c r="J74" i="19" s="1"/>
  <c r="J60" i="19" a="1"/>
  <c r="J60" i="19" s="1"/>
  <c r="M80" i="19"/>
  <c r="M68" i="19"/>
  <c r="M32" i="19"/>
  <c r="M59" i="19"/>
  <c r="M43" i="19"/>
  <c r="M27" i="19"/>
  <c r="J69" i="19" a="1"/>
  <c r="J69" i="19" s="1"/>
  <c r="N37" i="19" a="1"/>
  <c r="N37" i="19" s="1"/>
  <c r="N29" i="19" a="1"/>
  <c r="N29" i="19" s="1"/>
  <c r="K29" i="19" a="1"/>
  <c r="K29" i="19" s="1"/>
  <c r="M29" i="19" s="1"/>
  <c r="K13" i="19" a="1"/>
  <c r="K13" i="19" s="1"/>
  <c r="M13" i="19" s="1"/>
  <c r="N13" i="19" a="1"/>
  <c r="N13" i="19" s="1"/>
  <c r="O84" i="19" a="1"/>
  <c r="O84" i="19" s="1"/>
  <c r="O68" i="19" a="1"/>
  <c r="O68" i="19" s="1"/>
  <c r="O91" i="19" a="1"/>
  <c r="O91" i="19" s="1"/>
  <c r="O87" i="19" a="1"/>
  <c r="O87" i="19" s="1"/>
  <c r="O83" i="19" a="1"/>
  <c r="O83" i="19" s="1"/>
  <c r="O79" i="19" a="1"/>
  <c r="O79" i="19" s="1"/>
  <c r="O75" i="19" a="1"/>
  <c r="O75" i="19" s="1"/>
  <c r="O71" i="19" a="1"/>
  <c r="O71" i="19" s="1"/>
  <c r="O67" i="19" a="1"/>
  <c r="O67" i="19" s="1"/>
  <c r="O63" i="19" a="1"/>
  <c r="O63" i="19" s="1"/>
  <c r="O59" i="19" a="1"/>
  <c r="O59" i="19" s="1"/>
  <c r="O55" i="19" a="1"/>
  <c r="O55" i="19" s="1"/>
  <c r="O51" i="19" a="1"/>
  <c r="O51" i="19" s="1"/>
  <c r="O47" i="19" a="1"/>
  <c r="O47" i="19" s="1"/>
  <c r="O43" i="19" a="1"/>
  <c r="O43" i="19" s="1"/>
  <c r="O39" i="19" a="1"/>
  <c r="O39" i="19" s="1"/>
  <c r="O35" i="19" a="1"/>
  <c r="O35" i="19" s="1"/>
  <c r="O31" i="19" a="1"/>
  <c r="O31" i="19" s="1"/>
  <c r="O27" i="19" a="1"/>
  <c r="O27" i="19" s="1"/>
  <c r="O23" i="19" a="1"/>
  <c r="O23" i="19" s="1"/>
  <c r="O19" i="19" a="1"/>
  <c r="O19" i="19" s="1"/>
  <c r="O15" i="19" a="1"/>
  <c r="O15" i="19" s="1"/>
  <c r="O11" i="19" a="1"/>
  <c r="O11" i="19" s="1"/>
  <c r="O7" i="19" a="1"/>
  <c r="O7" i="19" s="1"/>
  <c r="O3" i="19" a="1"/>
  <c r="O3" i="19" s="1"/>
  <c r="N85" i="19" a="1"/>
  <c r="N85" i="19" s="1"/>
  <c r="N81" i="19" a="1"/>
  <c r="N81" i="19" s="1"/>
  <c r="N69" i="19" a="1"/>
  <c r="N69" i="19" s="1"/>
  <c r="N65" i="19" a="1"/>
  <c r="N65" i="19" s="1"/>
  <c r="N61" i="19" a="1"/>
  <c r="N61" i="19" s="1"/>
  <c r="N57" i="19" a="1"/>
  <c r="N57" i="19" s="1"/>
  <c r="N52" i="19" a="1"/>
  <c r="N52" i="19" s="1"/>
  <c r="N44" i="19" a="1"/>
  <c r="N44" i="19" s="1"/>
  <c r="N36" i="19" a="1"/>
  <c r="N36" i="19" s="1"/>
  <c r="N28" i="19" a="1"/>
  <c r="N28" i="19" s="1"/>
  <c r="N20" i="19" a="1"/>
  <c r="N20" i="19" s="1"/>
  <c r="N12" i="19" a="1"/>
  <c r="N12" i="19" s="1"/>
  <c r="N7" i="19" a="1"/>
  <c r="N7" i="19" s="1"/>
  <c r="N3" i="19" a="1"/>
  <c r="N3" i="19" s="1"/>
  <c r="M48" i="19"/>
  <c r="M16" i="19"/>
  <c r="K79" i="19" a="1"/>
  <c r="K79" i="19" s="1"/>
  <c r="K65" i="19" a="1"/>
  <c r="K65" i="19" s="1"/>
  <c r="K51" i="19" a="1"/>
  <c r="K51" i="19" s="1"/>
  <c r="M51" i="19" s="1"/>
  <c r="K37" i="19" a="1"/>
  <c r="K37" i="19" s="1"/>
  <c r="M37" i="19" s="1"/>
  <c r="K8" i="19" a="1"/>
  <c r="K8" i="19" s="1"/>
  <c r="J84" i="19" a="1"/>
  <c r="J84" i="19" s="1"/>
  <c r="J70" i="19" a="1"/>
  <c r="J70" i="19" s="1"/>
  <c r="J56" i="19" a="1"/>
  <c r="J56" i="19" s="1"/>
  <c r="J25" i="19" a="1"/>
  <c r="J25" i="19" s="1"/>
  <c r="M88" i="19"/>
  <c r="M64" i="19"/>
  <c r="M14" i="19"/>
  <c r="M39" i="19"/>
  <c r="M23" i="19"/>
  <c r="M7" i="19"/>
  <c r="J89" i="19" a="1"/>
  <c r="J89" i="19" s="1"/>
  <c r="K89" i="19" a="1"/>
  <c r="K89" i="19" s="1"/>
  <c r="K77" i="19" a="1"/>
  <c r="K77" i="19" s="1"/>
  <c r="J77" i="19" a="1"/>
  <c r="J77" i="19" s="1"/>
  <c r="K73" i="19" a="1"/>
  <c r="K73" i="19" s="1"/>
  <c r="J73" i="19" a="1"/>
  <c r="J73" i="19" s="1"/>
  <c r="K53" i="19" a="1"/>
  <c r="K53" i="19" s="1"/>
  <c r="M53" i="19" s="1"/>
  <c r="N49" i="19" a="1"/>
  <c r="N49" i="19" s="1"/>
  <c r="K49" i="19" a="1"/>
  <c r="K49" i="19" s="1"/>
  <c r="M49" i="19" s="1"/>
  <c r="K45" i="19" a="1"/>
  <c r="K45" i="19" s="1"/>
  <c r="M45" i="19" s="1"/>
  <c r="N45" i="19" a="1"/>
  <c r="N45" i="19" s="1"/>
  <c r="K41" i="19" a="1"/>
  <c r="K41" i="19" s="1"/>
  <c r="M41" i="19" s="1"/>
  <c r="N41" i="19" a="1"/>
  <c r="N41" i="19" s="1"/>
  <c r="K9" i="19" a="1"/>
  <c r="K9" i="19" s="1"/>
  <c r="M9" i="19" s="1"/>
  <c r="O90" i="19" a="1"/>
  <c r="O90" i="19" s="1"/>
  <c r="O86" i="19" a="1"/>
  <c r="O86" i="19" s="1"/>
  <c r="O82" i="19" a="1"/>
  <c r="O82" i="19" s="1"/>
  <c r="O78" i="19" a="1"/>
  <c r="O78" i="19" s="1"/>
  <c r="O74" i="19" a="1"/>
  <c r="O74" i="19" s="1"/>
  <c r="O70" i="19" a="1"/>
  <c r="O70" i="19" s="1"/>
  <c r="O66" i="19" a="1"/>
  <c r="O66" i="19" s="1"/>
  <c r="O62" i="19" a="1"/>
  <c r="O62" i="19" s="1"/>
  <c r="O58" i="19" a="1"/>
  <c r="O58" i="19" s="1"/>
  <c r="O54" i="19" a="1"/>
  <c r="O54" i="19" s="1"/>
  <c r="O50" i="19" a="1"/>
  <c r="O50" i="19" s="1"/>
  <c r="O46" i="19" a="1"/>
  <c r="O46" i="19" s="1"/>
  <c r="O42" i="19" a="1"/>
  <c r="O42" i="19" s="1"/>
  <c r="O38" i="19" a="1"/>
  <c r="O38" i="19" s="1"/>
  <c r="O34" i="19" a="1"/>
  <c r="O34" i="19" s="1"/>
  <c r="O30" i="19" a="1"/>
  <c r="O30" i="19" s="1"/>
  <c r="O26" i="19" a="1"/>
  <c r="O26" i="19" s="1"/>
  <c r="O22" i="19" a="1"/>
  <c r="O22" i="19" s="1"/>
  <c r="O18" i="19" a="1"/>
  <c r="O18" i="19" s="1"/>
  <c r="O14" i="19" a="1"/>
  <c r="O14" i="19" s="1"/>
  <c r="O10" i="19" a="1"/>
  <c r="O10" i="19" s="1"/>
  <c r="O6" i="19" a="1"/>
  <c r="O6" i="19" s="1"/>
  <c r="O2" i="19" a="1"/>
  <c r="O2" i="19" s="1"/>
  <c r="N88" i="19" a="1"/>
  <c r="N88" i="19" s="1"/>
  <c r="N84" i="19" a="1"/>
  <c r="N84" i="19" s="1"/>
  <c r="N80" i="19" a="1"/>
  <c r="N80" i="19" s="1"/>
  <c r="N76" i="19" a="1"/>
  <c r="N76" i="19" s="1"/>
  <c r="N72" i="19" a="1"/>
  <c r="N72" i="19" s="1"/>
  <c r="N68" i="19" a="1"/>
  <c r="N68" i="19" s="1"/>
  <c r="N64" i="19" a="1"/>
  <c r="N64" i="19" s="1"/>
  <c r="N60" i="19" a="1"/>
  <c r="N60" i="19" s="1"/>
  <c r="N56" i="19" a="1"/>
  <c r="N56" i="19" s="1"/>
  <c r="N50" i="19" a="1"/>
  <c r="N50" i="19" s="1"/>
  <c r="N42" i="19" a="1"/>
  <c r="N42" i="19" s="1"/>
  <c r="N34" i="19" a="1"/>
  <c r="N34" i="19" s="1"/>
  <c r="N26" i="19" a="1"/>
  <c r="N26" i="19" s="1"/>
  <c r="N18" i="19" a="1"/>
  <c r="N18" i="19" s="1"/>
  <c r="N10" i="19" a="1"/>
  <c r="N10" i="19" s="1"/>
  <c r="N6" i="19" a="1"/>
  <c r="N6" i="19" s="1"/>
  <c r="M58" i="19"/>
  <c r="M26" i="19"/>
  <c r="K90" i="19" a="1"/>
  <c r="K90" i="19" s="1"/>
  <c r="K76" i="19" a="1"/>
  <c r="K76" i="19" s="1"/>
  <c r="M76" i="19" s="1"/>
  <c r="K62" i="19" a="1"/>
  <c r="K62" i="19" s="1"/>
  <c r="M62" i="19" s="1"/>
  <c r="K47" i="19" a="1"/>
  <c r="K47" i="19" s="1"/>
  <c r="M47" i="19" s="1"/>
  <c r="K33" i="19" a="1"/>
  <c r="K33" i="19" s="1"/>
  <c r="M33" i="19" s="1"/>
  <c r="K19" i="19" a="1"/>
  <c r="K19" i="19" s="1"/>
  <c r="M19" i="19" s="1"/>
  <c r="K5" i="19" a="1"/>
  <c r="K5" i="19" s="1"/>
  <c r="M5" i="19" s="1"/>
  <c r="J81" i="19" a="1"/>
  <c r="J81" i="19" s="1"/>
  <c r="J67" i="19" a="1"/>
  <c r="J67" i="19" s="1"/>
  <c r="J53" i="19" a="1"/>
  <c r="J53" i="19" s="1"/>
  <c r="J37" i="19" a="1"/>
  <c r="J37" i="19" s="1"/>
  <c r="J21" i="19" a="1"/>
  <c r="J21" i="19" s="1"/>
  <c r="J5" i="19" a="1"/>
  <c r="J5" i="19" s="1"/>
  <c r="M91" i="19"/>
  <c r="M87" i="19"/>
  <c r="M83" i="19"/>
  <c r="M79" i="19"/>
  <c r="M75" i="19"/>
  <c r="M71" i="19"/>
  <c r="M67" i="19"/>
  <c r="M63" i="19"/>
  <c r="M90" i="19"/>
  <c r="M86" i="19"/>
  <c r="M82" i="19"/>
  <c r="M78" i="19"/>
  <c r="M74" i="19"/>
  <c r="M70" i="19"/>
  <c r="M66" i="19"/>
  <c r="M56" i="19"/>
  <c r="M50" i="19"/>
  <c r="M40" i="19"/>
  <c r="M34" i="19"/>
  <c r="M24" i="19"/>
  <c r="M18" i="19"/>
  <c r="M8" i="19"/>
  <c r="M2" i="19"/>
  <c r="M89" i="19"/>
  <c r="M85" i="19"/>
  <c r="M81" i="19"/>
  <c r="M77" i="19"/>
  <c r="M73" i="19"/>
  <c r="M69" i="19"/>
  <c r="M65" i="19"/>
  <c r="R110" i="18"/>
  <c r="U110" i="18" s="1"/>
  <c r="R54" i="18"/>
  <c r="U54" i="18" s="1"/>
  <c r="R271" i="18"/>
  <c r="U271" i="18" s="1"/>
  <c r="N2" i="17" a="1"/>
  <c r="N2" i="17" s="1"/>
  <c r="Q299" i="17"/>
  <c r="W299" i="17" s="1"/>
  <c r="Q165" i="17"/>
  <c r="W165" i="17" s="1"/>
  <c r="Q326" i="17"/>
  <c r="W326" i="17" s="1"/>
  <c r="Q148" i="17"/>
  <c r="W148" i="17" s="1"/>
  <c r="Q134" i="17"/>
  <c r="W134" i="17" s="1"/>
  <c r="Q131" i="17"/>
  <c r="W131" i="17" s="1"/>
  <c r="Q230" i="17"/>
  <c r="W230" i="17" s="1"/>
  <c r="Q119" i="17"/>
  <c r="W119" i="17" s="1"/>
  <c r="N4" i="17" a="1"/>
  <c r="N4" i="17" s="1"/>
  <c r="N3" i="17" a="1"/>
  <c r="N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esto\OneDrive - Universidad de la Sabana\universidad\2025-1\simulación\puntos del taller\415 pedidos\pedidosportip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esto\OneDrive - Universidad de la Sabana\universidad\2025-1\simulación\puntos del taller\415 pedidos\pedidosportip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esto\OneDrive - Universidad de la Sabana\universidad\2025-1\simulación\puntos del taller\415 pedidos\pedidosportip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esto\OneDrive - Universidad de la Sabana\universidad\2025-1\simulación\puntos del taller\415 pedidos\pedidosportip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esto\OneDrive - Universidad de la Sabana\universidad\2025-1\simulación\puntos del taller\415 pedidos\pedidosportip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esto\OneDrive - Universidad de la Sabana\universidad\2025-1\simulación\puntos del taller\415 pedidos\pedidosportip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<sst xmlns="http://schemas.openxmlformats.org/spreadsheetml/2006/main" count="4754" uniqueCount="120">
  <si>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</si>
  <si>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</si>
  <si>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</si>
  <si>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</si>
  <si>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</si>
  <si>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</si>
  <si>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</si>
  <si>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</si>
  <si>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</si>
  <si>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</si>
  <si>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</si>
  <si>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</si>
  <si>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</si>
  <si>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</si>
  <si>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</si>
  <si>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</si>
  <si>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</si>
  <si>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</si>
  <si>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</si>
  <si>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</si>
  <si>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</si>
  <si>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</si>
  <si>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</si>
  <si>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</si>
  <si>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</si>
  <si>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</si>
  <si>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</si>
  <si>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</si>
  <si>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</si>
  <si>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</si>
  <si>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</si>
  <si>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</si>
  <si>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</si>
  <si>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</si>
  <si>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</si>
  <si>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</si>
  <si>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</si>
  <si>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</si>
  <si>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</si>
  <si>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</si>
  <si>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</si>
  <si>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</si>
  <si>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</si>
  <si>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</si>
  <si>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</si>
  <si>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</si>
  <si>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</si>
  <si>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</si>
  <si>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</si>
  <si>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</si>
  <si>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</si>
  <si>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</si>
  <si>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</si>
  <si>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</si>
  <si>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</si>
  <si>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</si>
  <si>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</si>
  <si>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</si>
  <si>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</si>
  <si>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</si>
  <si>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</si>
  <si>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</si>
  <si>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</si>
  <si>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</si>
  <si>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</si>
  <si>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</si>
  <si>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</si>
  <si>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</si>
  <si>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</si>
  <si>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C:\Users\nesto\OneDrive - Universidad de la Sabana\Universidad\2025-1\Simulación\Puntos del taller\415 Pedidos\PedidosporTipo.p</t>
  </si>
  <si>
    <t>2025-05-22 01:25:31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</si>
  <si>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</si>
  <si>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</si>
  <si>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</si>
  <si>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</si>
  <si>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</si>
  <si>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</si>
  <si>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</si>
  <si>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</si>
  <si>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Esperar Pedido.Queue</t>
  </si>
  <si>
    <t>Waiting Time</t>
  </si>
  <si>
    <t>Queue</t>
  </si>
  <si>
    <t>OcuparCajero.Queue</t>
  </si>
  <si>
    <t>Probabilidadmayor5</t>
  </si>
  <si>
    <t>Expression</t>
  </si>
  <si>
    <t>User Specified</t>
  </si>
  <si>
    <t>TiempoEspera</t>
  </si>
  <si>
    <t>TiempoSistema</t>
  </si>
  <si>
    <t>WIP</t>
  </si>
  <si>
    <t>Number Waiting</t>
  </si>
  <si>
    <t>rCajero</t>
  </si>
  <si>
    <t>Instantaneous Utilization</t>
  </si>
  <si>
    <t>Resource</t>
  </si>
  <si>
    <t>Number Busy</t>
  </si>
  <si>
    <t>Number Scheduled</t>
  </si>
  <si>
    <t>rchef</t>
  </si>
  <si>
    <t>Contadortipo1</t>
  </si>
  <si>
    <t>Count</t>
  </si>
  <si>
    <t>Contadortipo2</t>
  </si>
  <si>
    <t>Contadortipo3</t>
  </si>
  <si>
    <t>Entity 1.NumberIn</t>
  </si>
  <si>
    <t>Number In</t>
  </si>
  <si>
    <t>Entity 1.NumberOut</t>
  </si>
  <si>
    <t>Number Out</t>
  </si>
  <si>
    <t>System.NumberOut</t>
  </si>
  <si>
    <t>System</t>
  </si>
  <si>
    <t>rCajero.NumberSeized</t>
  </si>
  <si>
    <t>Total Number Seized</t>
  </si>
  <si>
    <t>rCajero.ScheduledUtilization</t>
  </si>
  <si>
    <t>Scheduled Utilization</t>
  </si>
  <si>
    <t>rchef.NumberSeized</t>
  </si>
  <si>
    <t>rchef.ScheduledUtilization</t>
  </si>
  <si>
    <t>Type 1 Throughput</t>
  </si>
  <si>
    <t>Type 2 Throughput</t>
  </si>
  <si>
    <t>Type 3 Throughput</t>
  </si>
  <si>
    <t>Utilization of cashiers</t>
  </si>
  <si>
    <t>Utilization of cooks</t>
  </si>
  <si>
    <t>Customer System Time (in minutes)</t>
  </si>
  <si>
    <t>Customer Waiting Time (in minutes)</t>
  </si>
  <si>
    <r>
      <t>Probability of wait </t>
    </r>
    <r>
      <rPr>
        <sz val="14"/>
        <color rgb="FF333333"/>
        <rFont val="MJXc-TeX-main-R"/>
      </rPr>
      <t>&gt;</t>
    </r>
    <r>
      <rPr>
        <sz val="14"/>
        <color rgb="FF333333"/>
        <rFont val="Arial"/>
        <family val="2"/>
      </rPr>
      <t>&gt;</t>
    </r>
    <r>
      <rPr>
        <sz val="12"/>
        <color rgb="FF333333"/>
        <rFont val="Arial"/>
        <family val="2"/>
      </rPr>
      <t> 5 minutes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</si>
</sst>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333333"/>
      <name val="Arial"/>
      <family val="2"/>
    </font>
    <font>
      <sz val="14"/>
      <color rgb="FF333333"/>
      <name val="Arial"/>
      <family val="2"/>
    </font>
    <font>
      <sz val="14"/>
      <color rgb="FF333333"/>
      <name val="MJXc-TeX-main-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  <xf numFmtId="0" fontId="3" fillId="0" borderId="1" xfId="0" applyFont="1" applyBorder="1"/>
    <xf numFmtId="0" fontId="0" fillId="0" borderId="1" xfId="0" applyBorder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5954143518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59541666669" createdVersion="7" refreshedVersion="8" minRefreshableVersion="3" recordCount="33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4">
        <s v="Entity 1"/>
        <s v="Esperar Pedido.Queue"/>
        <s v="OcuparCajero.Queue"/>
        <s v="Probabilidadmayor5"/>
        <s v="TiempoEspera"/>
        <s v="TiempoSistema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3">
        <s v="NVA Time"/>
        <s v="Other Time"/>
        <s v="Total Time"/>
        <s v="Transfer Time"/>
        <s v="VA Time"/>
        <s v="Wait Time"/>
        <s v="Waiting Time"/>
        <s v="Expression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s v="User Specified"/>
        <m u="1"/>
        <s v="Process" u="1"/>
      </sharedItems>
    </cacheField>
    <cacheField name="Average" numFmtId="0">
      <sharedItems containsSemiMixedTypes="0" containsString="0" containsNumber="1" minValue="0" maxValue="246.36608989585901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1.9953147652557801"/>
    </cacheField>
    <cacheField name="Maximum" numFmtId="0">
      <sharedItems containsSemiMixedTypes="0" containsString="0" containsNumber="1" minValue="0" maxValue="478.14848275515902"/>
    </cacheField>
    <cacheField name="NumberObservations" numFmtId="0">
      <sharedItems containsSemiMixedTypes="0" containsString="0" containsNumber="1" containsInteger="1" minValue="632" maxValue="733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238.04364708674956"/>
    </cacheField>
    <cacheField name="StDevOfAverage" numFmtId="0">
      <sharedItems containsSemiMixedTypes="0" containsString="0" containsNumber="1" minValue="0" maxValue="4.354171960532734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6258745305629705"/>
    </cacheField>
    <cacheField name="MinimumAverage" numFmtId="0">
      <sharedItems containsSemiMixedTypes="0" containsString="0" containsNumber="1" minValue="0" maxValue="226.08366462807001"/>
    </cacheField>
    <cacheField name="MaximumAverage" numFmtId="0">
      <sharedItems containsSemiMixedTypes="0" containsString="0" containsNumber="1" minValue="0" maxValue="246.36608989585901"/>
    </cacheField>
    <cacheField name="OverallMinimum" numFmtId="0">
      <sharedItems containsSemiMixedTypes="0" containsString="0" containsNumber="1" minValue="0" maxValue="1.1021083273538601"/>
    </cacheField>
    <cacheField name="OverallMaximum" numFmtId="0">
      <sharedItems containsSemiMixedTypes="0" containsString="0" containsNumber="1" minValue="0" maxValue="478.14848275515902"/>
    </cacheField>
    <cacheField name="AverageNumberObservations" numFmtId="0">
      <sharedItems containsSemiMixedTypes="0" containsString="0" containsNumber="1" minValue="679.23333333333335" maxValue="682.33333333333337"/>
    </cacheField>
    <cacheField name="SummaryHalfWidth" numFmtId="0">
      <sharedItems containsSemiMixedTypes="0" containsString="0" containsNumber="1" minValue="0" maxValue="1.6258745305629705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59541782408" createdVersion="7" refreshedVersion="8" minRefreshableVersion="3" recordCount="21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Entity 1.NumberIn"/>
        <s v="Entity 1.NumberOut"/>
        <s v="System.NumberOut"/>
        <s v="rCajero.NumberSeized"/>
        <s v="rCajero.ScheduledUtilization"/>
        <s v="rchef.NumberSeized"/>
        <s v="rchef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System"/>
        <s v="Resource"/>
        <m u="1"/>
        <s v="Process" u="1"/>
      </sharedItems>
    </cacheField>
    <cacheField name="RecordedValue" numFmtId="0">
      <sharedItems containsSemiMixedTypes="0" containsString="0" containsNumber="1" minValue="0.62568527922134098" maxValue="74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6819541161040038" maxValue="684.23333333333335"/>
    </cacheField>
    <cacheField name="StandardDeviation" numFmtId="0">
      <sharedItems containsSemiMixedTypes="0" containsString="0" containsNumber="1" minValue="2.5427627669908321E-2" maxValue="24.56754704515882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9.4948322151438332E-3" maxValue="9.1736728317556295"/>
    </cacheField>
    <cacheField name="Minimum" numFmtId="0">
      <sharedItems containsSemiMixedTypes="0" containsString="0" containsNumber="1" minValue="0.62568527922134098" maxValue="639"/>
    </cacheField>
    <cacheField name="Maximum" numFmtId="0">
      <sharedItems containsSemiMixedTypes="0" containsString="0" containsNumber="1" minValue="0.72090720879040104" maxValue="7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59542013892" createdVersion="7" refreshedVersion="8" minRefreshableVersion="3" recordCount="9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7">
        <s v="Contadortipo1"/>
        <s v="Contadortipo2"/>
        <s v="Contadortipo3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78" maxValue="392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100.8" maxValue="369"/>
    </cacheField>
    <cacheField name="StandardDeviation" numFmtId="0">
      <sharedItems containsSemiMixedTypes="0" containsString="0" containsNumber="1" minValue="8.8255116096696504" maxValue="16.55294535724684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2955001950805047" maxValue="6.1809713778174729"/>
    </cacheField>
    <cacheField name="Minimum" numFmtId="0">
      <sharedItems containsSemiMixedTypes="0" containsString="0" containsNumber="1" containsInteger="1" minValue="78" maxValue="325"/>
    </cacheField>
    <cacheField name="Maximum" numFmtId="0">
      <sharedItems containsSemiMixedTypes="0" containsString="0" containsNumber="1" containsInteger="1" minValue="116" maxValue="3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59542129631" createdVersion="7" refreshedVersion="8" minRefreshableVersion="3" recordCount="27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8">
        <s v="Entity 1"/>
        <s v="Esperar Pedido.Queue"/>
        <s v="OcuparCajero.Queue"/>
        <s v="rCajero"/>
        <s v="rchef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4.2893123096714503E-2" maxValue="8.3550459526658596"/>
    </cacheField>
    <cacheField name="BatchMeansHalfWidth" numFmtId="0">
      <sharedItems containsSemiMixedTypes="0" containsString="0" containsNumber="1" minValue="1.29846377078962E-2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28"/>
    </cacheField>
    <cacheField name="LastRecordedValue" numFmtId="0">
      <sharedItems containsSemiMixedTypes="0" containsString="0" containsNumber="1" minValue="0" maxValue="1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6.4486663216296092E-2" maxValue="5.3716564792553259"/>
    </cacheField>
    <cacheField name="StDevOfAverage" numFmtId="0">
      <sharedItems containsSemiMixedTypes="0" containsString="0" containsNumber="1" minValue="0" maxValue="0.8878947089909753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3154533313227752"/>
    </cacheField>
    <cacheField name="MinimumAverage" numFmtId="0">
      <sharedItems containsSemiMixedTypes="0" containsString="0" containsNumber="1" minValue="4.2893123096714503E-2" maxValue="4.1194471364998897"/>
    </cacheField>
    <cacheField name="MaximumAverage" numFmtId="0">
      <sharedItems containsSemiMixedTypes="0" containsString="0" containsNumber="1" minValue="8.2167854080019698E-2" maxValue="8.3550459526658596"/>
    </cacheField>
    <cacheField name="SummaryHalfWidth" numFmtId="0">
      <sharedItems containsSemiMixedTypes="0" containsString="0" containsNumber="1" minValue="0" maxValue="0.331545333132277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0">
  <r>
    <x v="0"/>
    <s v="2025-05-22 01:25:31"/>
    <n v="1"/>
    <x v="0"/>
    <x v="0"/>
    <x v="0"/>
    <n v="0"/>
    <n v="0"/>
    <n v="0"/>
    <n v="0"/>
    <n v="703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"/>
    <x v="0"/>
    <x v="1"/>
    <x v="0"/>
    <n v="0"/>
    <n v="0"/>
    <n v="0"/>
    <n v="0"/>
    <n v="703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"/>
    <x v="0"/>
    <x v="2"/>
    <x v="0"/>
    <n v="3.8476697261846202"/>
    <n v="0.54336271871439901"/>
    <n v="1.2264829288196599"/>
    <n v="9.8522899010388905"/>
    <n v="703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"/>
    <x v="0"/>
    <x v="3"/>
    <x v="0"/>
    <n v="0"/>
    <n v="0"/>
    <n v="0"/>
    <n v="0"/>
    <n v="703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"/>
    <x v="0"/>
    <x v="4"/>
    <x v="0"/>
    <n v="2.1781067097470199"/>
    <n v="3.0125070233836301E-2"/>
    <n v="1.14885672578993"/>
    <n v="2.93930891832707"/>
    <n v="703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"/>
    <x v="0"/>
    <x v="5"/>
    <x v="0"/>
    <n v="1.6695630164376001"/>
    <n v="3E+20"/>
    <n v="0"/>
    <n v="7.6149543765270096"/>
    <n v="703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"/>
    <x v="0"/>
    <x v="0"/>
    <x v="0"/>
    <n v="0"/>
    <n v="0"/>
    <n v="0"/>
    <n v="0"/>
    <n v="679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"/>
    <x v="0"/>
    <x v="1"/>
    <x v="0"/>
    <n v="0"/>
    <n v="0"/>
    <n v="0"/>
    <n v="0"/>
    <n v="679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"/>
    <x v="0"/>
    <x v="2"/>
    <x v="0"/>
    <n v="3.4852746166621502"/>
    <n v="0.322023142201112"/>
    <n v="1.3155915913940199"/>
    <n v="6.9459595733874604"/>
    <n v="679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"/>
    <x v="0"/>
    <x v="3"/>
    <x v="0"/>
    <n v="0"/>
    <n v="0"/>
    <n v="0"/>
    <n v="0"/>
    <n v="679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"/>
    <x v="0"/>
    <x v="4"/>
    <x v="0"/>
    <n v="2.1840289203925098"/>
    <n v="3E+20"/>
    <n v="1.18907492583799"/>
    <n v="2.9204596605989699"/>
    <n v="679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"/>
    <x v="0"/>
    <x v="5"/>
    <x v="0"/>
    <n v="1.3012456962696299"/>
    <n v="0.32382189161082597"/>
    <n v="0"/>
    <n v="4.5671924774518704"/>
    <n v="679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3"/>
    <x v="0"/>
    <x v="0"/>
    <x v="0"/>
    <n v="0"/>
    <n v="0"/>
    <n v="0"/>
    <n v="0"/>
    <n v="659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3"/>
    <x v="0"/>
    <x v="1"/>
    <x v="0"/>
    <n v="0"/>
    <n v="0"/>
    <n v="0"/>
    <n v="0"/>
    <n v="659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3"/>
    <x v="0"/>
    <x v="2"/>
    <x v="0"/>
    <n v="3.8582394109873799"/>
    <n v="0.78414802980325304"/>
    <n v="1.2774691588169"/>
    <n v="10.9051308786026"/>
    <n v="659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3"/>
    <x v="0"/>
    <x v="3"/>
    <x v="0"/>
    <n v="0"/>
    <n v="0"/>
    <n v="0"/>
    <n v="0"/>
    <n v="659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3"/>
    <x v="0"/>
    <x v="4"/>
    <x v="0"/>
    <n v="2.2049521112294199"/>
    <n v="2.87360743711788E-2"/>
    <n v="1.25600591849565"/>
    <n v="2.9203886395243801"/>
    <n v="659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3"/>
    <x v="0"/>
    <x v="5"/>
    <x v="0"/>
    <n v="1.65328729975796"/>
    <n v="0.77897390127316302"/>
    <n v="0"/>
    <n v="8.9310640927880591"/>
    <n v="659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4"/>
    <x v="0"/>
    <x v="0"/>
    <x v="0"/>
    <n v="0"/>
    <n v="0"/>
    <n v="0"/>
    <n v="0"/>
    <n v="696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4"/>
    <x v="0"/>
    <x v="1"/>
    <x v="0"/>
    <n v="0"/>
    <n v="0"/>
    <n v="0"/>
    <n v="0"/>
    <n v="696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4"/>
    <x v="0"/>
    <x v="2"/>
    <x v="0"/>
    <n v="3.88638673435221"/>
    <n v="0.75328477860946697"/>
    <n v="1.26846992838566"/>
    <n v="11.303731144845401"/>
    <n v="696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4"/>
    <x v="0"/>
    <x v="3"/>
    <x v="0"/>
    <n v="0"/>
    <n v="0"/>
    <n v="0"/>
    <n v="0"/>
    <n v="696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4"/>
    <x v="0"/>
    <x v="4"/>
    <x v="0"/>
    <n v="2.1749999424229398"/>
    <n v="2.13128616976654E-2"/>
    <n v="1.20052659656901"/>
    <n v="3.0119185513004298"/>
    <n v="696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4"/>
    <x v="0"/>
    <x v="5"/>
    <x v="0"/>
    <n v="1.71138679192927"/>
    <n v="0.75743768840846704"/>
    <n v="0"/>
    <n v="8.7457176495751394"/>
    <n v="696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5"/>
    <x v="0"/>
    <x v="0"/>
    <x v="0"/>
    <n v="0"/>
    <n v="0"/>
    <n v="0"/>
    <n v="0"/>
    <n v="701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5"/>
    <x v="0"/>
    <x v="1"/>
    <x v="0"/>
    <n v="0"/>
    <n v="0"/>
    <n v="0"/>
    <n v="0"/>
    <n v="701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5"/>
    <x v="0"/>
    <x v="2"/>
    <x v="0"/>
    <n v="3.6581202521182998"/>
    <n v="3E+20"/>
    <n v="1.3203989248527801"/>
    <n v="9.1428210334010505"/>
    <n v="701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5"/>
    <x v="0"/>
    <x v="3"/>
    <x v="0"/>
    <n v="0"/>
    <n v="0"/>
    <n v="0"/>
    <n v="0"/>
    <n v="701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5"/>
    <x v="0"/>
    <x v="4"/>
    <x v="0"/>
    <n v="2.1466672168973902"/>
    <n v="3E+20"/>
    <n v="1.1608302416669301"/>
    <n v="2.9852504676643399"/>
    <n v="701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5"/>
    <x v="0"/>
    <x v="5"/>
    <x v="0"/>
    <n v="1.5114530352209099"/>
    <n v="0.49557086139269102"/>
    <n v="0"/>
    <n v="6.88793206282645"/>
    <n v="701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6"/>
    <x v="0"/>
    <x v="0"/>
    <x v="0"/>
    <n v="0"/>
    <n v="0"/>
    <n v="0"/>
    <n v="0"/>
    <n v="658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6"/>
    <x v="0"/>
    <x v="1"/>
    <x v="0"/>
    <n v="0"/>
    <n v="0"/>
    <n v="0"/>
    <n v="0"/>
    <n v="658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6"/>
    <x v="0"/>
    <x v="2"/>
    <x v="0"/>
    <n v="3.42203015126195"/>
    <n v="0.69936470576652998"/>
    <n v="1.3114833833141999"/>
    <n v="10.698837254194901"/>
    <n v="658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6"/>
    <x v="0"/>
    <x v="3"/>
    <x v="0"/>
    <n v="0"/>
    <n v="0"/>
    <n v="0"/>
    <n v="0"/>
    <n v="658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6"/>
    <x v="0"/>
    <x v="4"/>
    <x v="0"/>
    <n v="2.16189409577238"/>
    <n v="3.6081631888233198E-2"/>
    <n v="1.0704910044334699"/>
    <n v="2.8864385083381001"/>
    <n v="658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6"/>
    <x v="0"/>
    <x v="5"/>
    <x v="0"/>
    <n v="1.26013605548956"/>
    <n v="0.70154762975862495"/>
    <n v="0"/>
    <n v="8.6383385086734794"/>
    <n v="658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7"/>
    <x v="0"/>
    <x v="0"/>
    <x v="0"/>
    <n v="0"/>
    <n v="0"/>
    <n v="0"/>
    <n v="0"/>
    <n v="707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7"/>
    <x v="0"/>
    <x v="1"/>
    <x v="0"/>
    <n v="0"/>
    <n v="0"/>
    <n v="0"/>
    <n v="0"/>
    <n v="707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7"/>
    <x v="0"/>
    <x v="2"/>
    <x v="0"/>
    <n v="3.7955473734267802"/>
    <n v="0.46470777952846998"/>
    <n v="1.40491075454742"/>
    <n v="9.1073927150757203"/>
    <n v="707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7"/>
    <x v="0"/>
    <x v="3"/>
    <x v="0"/>
    <n v="0"/>
    <n v="0"/>
    <n v="0"/>
    <n v="0"/>
    <n v="707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7"/>
    <x v="0"/>
    <x v="4"/>
    <x v="0"/>
    <n v="2.1470957740844998"/>
    <n v="3.6723108501433697E-2"/>
    <n v="1.1304242557216599"/>
    <n v="3.0150656498228199"/>
    <n v="707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7"/>
    <x v="0"/>
    <x v="5"/>
    <x v="0"/>
    <n v="1.6484515993422799"/>
    <n v="0.47244635769695398"/>
    <n v="0"/>
    <n v="6.4942548100423796"/>
    <n v="707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8"/>
    <x v="0"/>
    <x v="0"/>
    <x v="0"/>
    <n v="0"/>
    <n v="0"/>
    <n v="0"/>
    <n v="0"/>
    <n v="662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8"/>
    <x v="0"/>
    <x v="1"/>
    <x v="0"/>
    <n v="0"/>
    <n v="0"/>
    <n v="0"/>
    <n v="0"/>
    <n v="662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8"/>
    <x v="0"/>
    <x v="2"/>
    <x v="0"/>
    <n v="3.5385766048917899"/>
    <n v="0.54613874707105903"/>
    <n v="1.2841779974576"/>
    <n v="8.9749859724903693"/>
    <n v="662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8"/>
    <x v="0"/>
    <x v="3"/>
    <x v="0"/>
    <n v="0"/>
    <n v="0"/>
    <n v="0"/>
    <n v="0"/>
    <n v="662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8"/>
    <x v="0"/>
    <x v="4"/>
    <x v="0"/>
    <n v="2.1456352412188302"/>
    <n v="3E+20"/>
    <n v="1.1295482683492"/>
    <n v="2.9367052731092298"/>
    <n v="662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8"/>
    <x v="0"/>
    <x v="5"/>
    <x v="0"/>
    <n v="1.39294136367296"/>
    <n v="0.53743949150755699"/>
    <n v="0"/>
    <n v="6.4421888342566804"/>
    <n v="662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9"/>
    <x v="0"/>
    <x v="0"/>
    <x v="0"/>
    <n v="0"/>
    <n v="0"/>
    <n v="0"/>
    <n v="0"/>
    <n v="649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9"/>
    <x v="0"/>
    <x v="1"/>
    <x v="0"/>
    <n v="0"/>
    <n v="0"/>
    <n v="0"/>
    <n v="0"/>
    <n v="649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9"/>
    <x v="0"/>
    <x v="2"/>
    <x v="0"/>
    <n v="3.1204018331866701"/>
    <n v="3E+20"/>
    <n v="1.2603406257532599"/>
    <n v="7.24514094244525"/>
    <n v="649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9"/>
    <x v="0"/>
    <x v="3"/>
    <x v="0"/>
    <n v="0"/>
    <n v="0"/>
    <n v="0"/>
    <n v="0"/>
    <n v="649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9"/>
    <x v="0"/>
    <x v="4"/>
    <x v="0"/>
    <n v="2.1605835623317402"/>
    <n v="2.0130922085614299E-2"/>
    <n v="1.14884237812149"/>
    <n v="2.9468939008226598"/>
    <n v="649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9"/>
    <x v="0"/>
    <x v="5"/>
    <x v="0"/>
    <n v="0.959818270854919"/>
    <n v="3E+20"/>
    <n v="0"/>
    <n v="5.3239026399232898"/>
    <n v="649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0"/>
    <x v="0"/>
    <x v="0"/>
    <x v="0"/>
    <n v="0"/>
    <n v="0"/>
    <n v="0"/>
    <n v="0"/>
    <n v="670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0"/>
    <x v="0"/>
    <x v="1"/>
    <x v="0"/>
    <n v="0"/>
    <n v="0"/>
    <n v="0"/>
    <n v="0"/>
    <n v="670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0"/>
    <x v="0"/>
    <x v="2"/>
    <x v="0"/>
    <n v="3.1083671363946599"/>
    <n v="3E+20"/>
    <n v="1.2004456931046801"/>
    <n v="6.9247433393906901"/>
    <n v="670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0"/>
    <x v="0"/>
    <x v="3"/>
    <x v="0"/>
    <n v="0"/>
    <n v="0"/>
    <n v="0"/>
    <n v="0"/>
    <n v="670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0"/>
    <x v="0"/>
    <x v="4"/>
    <x v="0"/>
    <n v="2.1654519649672501"/>
    <n v="2.2993334484736502E-2"/>
    <n v="1.09322409637076"/>
    <n v="2.93324818857297"/>
    <n v="670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0"/>
    <x v="0"/>
    <x v="5"/>
    <x v="0"/>
    <n v="0.942915171427407"/>
    <n v="3E+20"/>
    <n v="0"/>
    <n v="4.5788647967169904"/>
    <n v="670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1"/>
    <x v="0"/>
    <x v="0"/>
    <x v="0"/>
    <n v="0"/>
    <n v="0"/>
    <n v="0"/>
    <n v="0"/>
    <n v="668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1"/>
    <x v="0"/>
    <x v="1"/>
    <x v="0"/>
    <n v="0"/>
    <n v="0"/>
    <n v="0"/>
    <n v="0"/>
    <n v="668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1"/>
    <x v="0"/>
    <x v="2"/>
    <x v="0"/>
    <n v="4.1439520250146398"/>
    <n v="3E+20"/>
    <n v="1.36801732782538"/>
    <n v="12.3431801369914"/>
    <n v="668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1"/>
    <x v="0"/>
    <x v="3"/>
    <x v="0"/>
    <n v="0"/>
    <n v="0"/>
    <n v="0"/>
    <n v="0"/>
    <n v="668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1"/>
    <x v="0"/>
    <x v="4"/>
    <x v="0"/>
    <n v="2.1790843621688798"/>
    <n v="2.3424943602815999E-2"/>
    <n v="1.27189366176232"/>
    <n v="3.0181299714329799"/>
    <n v="668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1"/>
    <x v="0"/>
    <x v="5"/>
    <x v="0"/>
    <n v="1.96486766284576"/>
    <n v="3E+20"/>
    <n v="0"/>
    <n v="10.342217988012999"/>
    <n v="668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2"/>
    <x v="0"/>
    <x v="0"/>
    <x v="0"/>
    <n v="0"/>
    <n v="0"/>
    <n v="0"/>
    <n v="0"/>
    <n v="695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2"/>
    <x v="0"/>
    <x v="1"/>
    <x v="0"/>
    <n v="0"/>
    <n v="0"/>
    <n v="0"/>
    <n v="0"/>
    <n v="695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2"/>
    <x v="0"/>
    <x v="2"/>
    <x v="0"/>
    <n v="4.2991558062878097"/>
    <n v="3E+20"/>
    <n v="1.21427329228241"/>
    <n v="10.6099409263044"/>
    <n v="695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2"/>
    <x v="0"/>
    <x v="3"/>
    <x v="0"/>
    <n v="0"/>
    <n v="0"/>
    <n v="0"/>
    <n v="0"/>
    <n v="695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2"/>
    <x v="0"/>
    <x v="4"/>
    <x v="0"/>
    <n v="2.1741665343544199"/>
    <n v="3.1205322490546201E-2"/>
    <n v="1.13149638453152"/>
    <n v="3.0539059722887298"/>
    <n v="695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2"/>
    <x v="0"/>
    <x v="5"/>
    <x v="0"/>
    <n v="2.1249892719333801"/>
    <n v="3E+20"/>
    <n v="0"/>
    <n v="8.3094078146274306"/>
    <n v="695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3"/>
    <x v="0"/>
    <x v="0"/>
    <x v="0"/>
    <n v="0"/>
    <n v="0"/>
    <n v="0"/>
    <n v="0"/>
    <n v="646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3"/>
    <x v="0"/>
    <x v="1"/>
    <x v="0"/>
    <n v="0"/>
    <n v="0"/>
    <n v="0"/>
    <n v="0"/>
    <n v="646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3"/>
    <x v="0"/>
    <x v="2"/>
    <x v="0"/>
    <n v="3.05178888852276"/>
    <n v="3E+20"/>
    <n v="1.18065499548624"/>
    <n v="7.7245648900010302"/>
    <n v="646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3"/>
    <x v="0"/>
    <x v="3"/>
    <x v="0"/>
    <n v="0"/>
    <n v="0"/>
    <n v="0"/>
    <n v="0"/>
    <n v="646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3"/>
    <x v="0"/>
    <x v="4"/>
    <x v="0"/>
    <n v="2.1582133076169998"/>
    <n v="3.0497739356526499E-2"/>
    <n v="1.1722070210361699"/>
    <n v="3.00489200164502"/>
    <n v="646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3"/>
    <x v="0"/>
    <x v="5"/>
    <x v="0"/>
    <n v="0.89357558090575995"/>
    <n v="3E+20"/>
    <n v="0"/>
    <n v="5.6764045000728602"/>
    <n v="646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4"/>
    <x v="0"/>
    <x v="0"/>
    <x v="0"/>
    <n v="0"/>
    <n v="0"/>
    <n v="0"/>
    <n v="0"/>
    <n v="690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4"/>
    <x v="0"/>
    <x v="1"/>
    <x v="0"/>
    <n v="0"/>
    <n v="0"/>
    <n v="0"/>
    <n v="0"/>
    <n v="690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4"/>
    <x v="0"/>
    <x v="2"/>
    <x v="0"/>
    <n v="3.94364615597146"/>
    <n v="0.55326354869759098"/>
    <n v="1.1021083273538601"/>
    <n v="9.3501077194198103"/>
    <n v="690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4"/>
    <x v="0"/>
    <x v="3"/>
    <x v="0"/>
    <n v="0"/>
    <n v="0"/>
    <n v="0"/>
    <n v="0"/>
    <n v="690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4"/>
    <x v="0"/>
    <x v="4"/>
    <x v="0"/>
    <n v="2.1672371095783598"/>
    <n v="2.69717885156728E-2"/>
    <n v="1.1021083273538601"/>
    <n v="2.9978808009486202"/>
    <n v="690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4"/>
    <x v="0"/>
    <x v="5"/>
    <x v="0"/>
    <n v="1.7764090463930999"/>
    <n v="0.55766016204447399"/>
    <n v="0"/>
    <n v="6.8386653251987202"/>
    <n v="690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5"/>
    <x v="0"/>
    <x v="0"/>
    <x v="0"/>
    <n v="0"/>
    <n v="0"/>
    <n v="0"/>
    <n v="0"/>
    <n v="699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5"/>
    <x v="0"/>
    <x v="1"/>
    <x v="0"/>
    <n v="0"/>
    <n v="0"/>
    <n v="0"/>
    <n v="0"/>
    <n v="699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5"/>
    <x v="0"/>
    <x v="2"/>
    <x v="0"/>
    <n v="3.8679065113931301"/>
    <n v="0.51510415310063595"/>
    <n v="1.25922858592872"/>
    <n v="8.4540630496078695"/>
    <n v="699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5"/>
    <x v="0"/>
    <x v="3"/>
    <x v="0"/>
    <n v="0"/>
    <n v="0"/>
    <n v="0"/>
    <n v="0"/>
    <n v="699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5"/>
    <x v="0"/>
    <x v="4"/>
    <x v="0"/>
    <n v="2.1699390832763101"/>
    <n v="3.1401359466814702E-2"/>
    <n v="1.1477190984083401"/>
    <n v="2.9454116054124002"/>
    <n v="699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5"/>
    <x v="0"/>
    <x v="5"/>
    <x v="0"/>
    <n v="1.69796742811682"/>
    <n v="0.50456423638360604"/>
    <n v="0"/>
    <n v="6.3900911014144697"/>
    <n v="699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6"/>
    <x v="0"/>
    <x v="0"/>
    <x v="0"/>
    <n v="0"/>
    <n v="0"/>
    <n v="0"/>
    <n v="0"/>
    <n v="705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6"/>
    <x v="0"/>
    <x v="1"/>
    <x v="0"/>
    <n v="0"/>
    <n v="0"/>
    <n v="0"/>
    <n v="0"/>
    <n v="705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6"/>
    <x v="0"/>
    <x v="2"/>
    <x v="0"/>
    <n v="4.3450776773955697"/>
    <n v="3E+20"/>
    <n v="1.2057222860123"/>
    <n v="12.6737391245111"/>
    <n v="705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6"/>
    <x v="0"/>
    <x v="3"/>
    <x v="0"/>
    <n v="0"/>
    <n v="0"/>
    <n v="0"/>
    <n v="0"/>
    <n v="705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6"/>
    <x v="0"/>
    <x v="4"/>
    <x v="0"/>
    <n v="2.1601114197243199"/>
    <n v="2.7325281729855499E-2"/>
    <n v="1.17015388283636"/>
    <n v="3.0287104102617901"/>
    <n v="705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6"/>
    <x v="0"/>
    <x v="5"/>
    <x v="0"/>
    <n v="2.1849662576712401"/>
    <n v="3E+20"/>
    <n v="0"/>
    <n v="10.0568478135137"/>
    <n v="705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7"/>
    <x v="0"/>
    <x v="0"/>
    <x v="0"/>
    <n v="0"/>
    <n v="0"/>
    <n v="0"/>
    <n v="0"/>
    <n v="676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7"/>
    <x v="0"/>
    <x v="1"/>
    <x v="0"/>
    <n v="0"/>
    <n v="0"/>
    <n v="0"/>
    <n v="0"/>
    <n v="676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7"/>
    <x v="0"/>
    <x v="2"/>
    <x v="0"/>
    <n v="4.2739321194172604"/>
    <n v="3E+20"/>
    <n v="1.3778858734863799"/>
    <n v="11.6065566096594"/>
    <n v="676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7"/>
    <x v="0"/>
    <x v="3"/>
    <x v="0"/>
    <n v="0"/>
    <n v="0"/>
    <n v="0"/>
    <n v="0"/>
    <n v="676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7"/>
    <x v="0"/>
    <x v="4"/>
    <x v="0"/>
    <n v="2.1593349892494902"/>
    <n v="3.45687410660626E-2"/>
    <n v="1.1849811532272601"/>
    <n v="3.0436141660006499"/>
    <n v="676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7"/>
    <x v="0"/>
    <x v="5"/>
    <x v="0"/>
    <n v="2.1145971301677702"/>
    <n v="3E+20"/>
    <n v="0"/>
    <n v="9.1237861209264093"/>
    <n v="676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8"/>
    <x v="0"/>
    <x v="0"/>
    <x v="0"/>
    <n v="0"/>
    <n v="0"/>
    <n v="0"/>
    <n v="0"/>
    <n v="646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8"/>
    <x v="0"/>
    <x v="1"/>
    <x v="0"/>
    <n v="0"/>
    <n v="0"/>
    <n v="0"/>
    <n v="0"/>
    <n v="646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8"/>
    <x v="0"/>
    <x v="2"/>
    <x v="0"/>
    <n v="3.2568608378200898"/>
    <n v="3E+20"/>
    <n v="1.35213219106689"/>
    <n v="7.8924026399500304"/>
    <n v="646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8"/>
    <x v="0"/>
    <x v="3"/>
    <x v="0"/>
    <n v="0"/>
    <n v="0"/>
    <n v="0"/>
    <n v="0"/>
    <n v="646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8"/>
    <x v="0"/>
    <x v="4"/>
    <x v="0"/>
    <n v="2.17795896734042"/>
    <n v="2.54898055242858E-2"/>
    <n v="1.13516264522292"/>
    <n v="3.03289502167797"/>
    <n v="646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8"/>
    <x v="0"/>
    <x v="5"/>
    <x v="0"/>
    <n v="1.07890187047968"/>
    <n v="3E+20"/>
    <n v="0"/>
    <n v="5.8387839987840398"/>
    <n v="646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9"/>
    <x v="0"/>
    <x v="0"/>
    <x v="0"/>
    <n v="0"/>
    <n v="0"/>
    <n v="0"/>
    <n v="0"/>
    <n v="690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9"/>
    <x v="0"/>
    <x v="1"/>
    <x v="0"/>
    <n v="0"/>
    <n v="0"/>
    <n v="0"/>
    <n v="0"/>
    <n v="690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9"/>
    <x v="0"/>
    <x v="2"/>
    <x v="0"/>
    <n v="3.5332946471792099"/>
    <n v="0.45959583627527201"/>
    <n v="1.2598467787957599"/>
    <n v="9.3167194128703308"/>
    <n v="690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19"/>
    <x v="0"/>
    <x v="3"/>
    <x v="0"/>
    <n v="0"/>
    <n v="0"/>
    <n v="0"/>
    <n v="0"/>
    <n v="690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19"/>
    <x v="0"/>
    <x v="4"/>
    <x v="0"/>
    <n v="2.1409329879735002"/>
    <n v="2.9458242620257501E-2"/>
    <n v="1.02131826584019"/>
    <n v="2.9463432115669801"/>
    <n v="690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19"/>
    <x v="0"/>
    <x v="5"/>
    <x v="0"/>
    <n v="1.39236165920571"/>
    <n v="0.45174455872672797"/>
    <n v="0"/>
    <n v="7.2531399381915698"/>
    <n v="690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0"/>
    <x v="0"/>
    <x v="0"/>
    <x v="0"/>
    <n v="0"/>
    <n v="0"/>
    <n v="0"/>
    <n v="0"/>
    <n v="639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0"/>
    <x v="0"/>
    <x v="1"/>
    <x v="0"/>
    <n v="0"/>
    <n v="0"/>
    <n v="0"/>
    <n v="0"/>
    <n v="639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0"/>
    <x v="0"/>
    <x v="2"/>
    <x v="0"/>
    <n v="3.5889267561103799"/>
    <n v="3E+20"/>
    <n v="1.3011914361379699"/>
    <n v="8.9215130689573794"/>
    <n v="639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0"/>
    <x v="0"/>
    <x v="3"/>
    <x v="0"/>
    <n v="0"/>
    <n v="0"/>
    <n v="0"/>
    <n v="0"/>
    <n v="639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0"/>
    <x v="0"/>
    <x v="4"/>
    <x v="0"/>
    <n v="2.16172634038"/>
    <n v="2.5919526805106601E-2"/>
    <n v="1.3011914361379699"/>
    <n v="3.0052450286268"/>
    <n v="639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0"/>
    <x v="0"/>
    <x v="5"/>
    <x v="0"/>
    <n v="1.4272004157303799"/>
    <n v="3E+20"/>
    <n v="0"/>
    <n v="6.7705191495925003"/>
    <n v="639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1"/>
    <x v="0"/>
    <x v="0"/>
    <x v="0"/>
    <n v="0"/>
    <n v="0"/>
    <n v="0"/>
    <n v="0"/>
    <n v="678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1"/>
    <x v="0"/>
    <x v="1"/>
    <x v="0"/>
    <n v="0"/>
    <n v="0"/>
    <n v="0"/>
    <n v="0"/>
    <n v="678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1"/>
    <x v="0"/>
    <x v="2"/>
    <x v="0"/>
    <n v="3.72391131892886"/>
    <n v="0.44302408518967301"/>
    <n v="1.3272096851108599"/>
    <n v="8.9236537723920701"/>
    <n v="678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1"/>
    <x v="0"/>
    <x v="3"/>
    <x v="0"/>
    <n v="0"/>
    <n v="0"/>
    <n v="0"/>
    <n v="0"/>
    <n v="678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1"/>
    <x v="0"/>
    <x v="4"/>
    <x v="0"/>
    <n v="2.1737464385201801"/>
    <n v="3.2116127682112798E-2"/>
    <n v="1.0926898306605899"/>
    <n v="3.1565601386708799"/>
    <n v="678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1"/>
    <x v="0"/>
    <x v="5"/>
    <x v="0"/>
    <n v="1.5501648804086801"/>
    <n v="0.44502444686168202"/>
    <n v="0"/>
    <n v="6.4001163932224499"/>
    <n v="678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2"/>
    <x v="0"/>
    <x v="0"/>
    <x v="0"/>
    <n v="0"/>
    <n v="0"/>
    <n v="0"/>
    <n v="0"/>
    <n v="663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2"/>
    <x v="0"/>
    <x v="1"/>
    <x v="0"/>
    <n v="0"/>
    <n v="0"/>
    <n v="0"/>
    <n v="0"/>
    <n v="663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2"/>
    <x v="0"/>
    <x v="2"/>
    <x v="0"/>
    <n v="3.25585274457789"/>
    <n v="3E+20"/>
    <n v="1.1223570134877101"/>
    <n v="8.7979960794029193"/>
    <n v="663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2"/>
    <x v="0"/>
    <x v="3"/>
    <x v="0"/>
    <n v="0"/>
    <n v="0"/>
    <n v="0"/>
    <n v="0"/>
    <n v="663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2"/>
    <x v="0"/>
    <x v="4"/>
    <x v="0"/>
    <n v="2.1628703719714899"/>
    <n v="4.1117585423525102E-2"/>
    <n v="1.1223570134877101"/>
    <n v="2.96596088749012"/>
    <n v="663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2"/>
    <x v="0"/>
    <x v="5"/>
    <x v="0"/>
    <n v="1.0929823726064001"/>
    <n v="0.45114336780861902"/>
    <n v="0"/>
    <n v="6.3605266454428797"/>
    <n v="663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3"/>
    <x v="0"/>
    <x v="0"/>
    <x v="0"/>
    <n v="0"/>
    <n v="0"/>
    <n v="0"/>
    <n v="0"/>
    <n v="717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3"/>
    <x v="0"/>
    <x v="1"/>
    <x v="0"/>
    <n v="0"/>
    <n v="0"/>
    <n v="0"/>
    <n v="0"/>
    <n v="717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3"/>
    <x v="0"/>
    <x v="2"/>
    <x v="0"/>
    <n v="4.2753647473687"/>
    <n v="0.793522173252734"/>
    <n v="1.27230958311048"/>
    <n v="13.4532400583753"/>
    <n v="717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3"/>
    <x v="0"/>
    <x v="3"/>
    <x v="0"/>
    <n v="0"/>
    <n v="0"/>
    <n v="0"/>
    <n v="0"/>
    <n v="717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3"/>
    <x v="0"/>
    <x v="4"/>
    <x v="0"/>
    <n v="2.1549224694265399"/>
    <n v="2.1629795356533602E-2"/>
    <n v="1.27230958311048"/>
    <n v="3.0993431728830401"/>
    <n v="717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3"/>
    <x v="0"/>
    <x v="5"/>
    <x v="0"/>
    <n v="2.1204422779421699"/>
    <n v="0.78907546258783801"/>
    <n v="0"/>
    <n v="11.202006929319399"/>
    <n v="717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4"/>
    <x v="0"/>
    <x v="0"/>
    <x v="0"/>
    <n v="0"/>
    <n v="0"/>
    <n v="0"/>
    <n v="0"/>
    <n v="660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4"/>
    <x v="0"/>
    <x v="1"/>
    <x v="0"/>
    <n v="0"/>
    <n v="0"/>
    <n v="0"/>
    <n v="0"/>
    <n v="660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4"/>
    <x v="0"/>
    <x v="2"/>
    <x v="0"/>
    <n v="3.76141981802335"/>
    <n v="0.81419611423012495"/>
    <n v="1.1859923434792701"/>
    <n v="12.958692377396"/>
    <n v="660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4"/>
    <x v="0"/>
    <x v="3"/>
    <x v="0"/>
    <n v="0"/>
    <n v="0"/>
    <n v="0"/>
    <n v="0"/>
    <n v="660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4"/>
    <x v="0"/>
    <x v="4"/>
    <x v="0"/>
    <n v="2.1707291505344299"/>
    <n v="2.4241724311822199E-2"/>
    <n v="1.11717305818047"/>
    <n v="3.0196464349730299"/>
    <n v="660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4"/>
    <x v="0"/>
    <x v="5"/>
    <x v="0"/>
    <n v="1.5906906674889301"/>
    <n v="0.80036425173724302"/>
    <n v="0"/>
    <n v="10.279081704916299"/>
    <n v="660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5"/>
    <x v="0"/>
    <x v="0"/>
    <x v="0"/>
    <n v="0"/>
    <n v="0"/>
    <n v="0"/>
    <n v="0"/>
    <n v="699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5"/>
    <x v="0"/>
    <x v="1"/>
    <x v="0"/>
    <n v="0"/>
    <n v="0"/>
    <n v="0"/>
    <n v="0"/>
    <n v="699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5"/>
    <x v="0"/>
    <x v="2"/>
    <x v="0"/>
    <n v="3.8355979431547"/>
    <n v="0.57196277913855398"/>
    <n v="1.1793142445193601"/>
    <n v="8.8689826000136502"/>
    <n v="699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5"/>
    <x v="0"/>
    <x v="3"/>
    <x v="0"/>
    <n v="0"/>
    <n v="0"/>
    <n v="0"/>
    <n v="0"/>
    <n v="699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5"/>
    <x v="0"/>
    <x v="4"/>
    <x v="0"/>
    <n v="2.1740055644574601"/>
    <n v="2.494245131977E-2"/>
    <n v="1.1793142445193601"/>
    <n v="2.9221870745607799"/>
    <n v="699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5"/>
    <x v="0"/>
    <x v="5"/>
    <x v="0"/>
    <n v="1.66159237869724"/>
    <n v="0.56651848351022005"/>
    <n v="0"/>
    <n v="6.63055527496343"/>
    <n v="699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6"/>
    <x v="0"/>
    <x v="0"/>
    <x v="0"/>
    <n v="0"/>
    <n v="0"/>
    <n v="0"/>
    <n v="0"/>
    <n v="703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6"/>
    <x v="0"/>
    <x v="1"/>
    <x v="0"/>
    <n v="0"/>
    <n v="0"/>
    <n v="0"/>
    <n v="0"/>
    <n v="703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6"/>
    <x v="0"/>
    <x v="2"/>
    <x v="0"/>
    <n v="4.3018632893431503"/>
    <n v="3E+20"/>
    <n v="1.28756387757949"/>
    <n v="10.6648392991937"/>
    <n v="703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6"/>
    <x v="0"/>
    <x v="3"/>
    <x v="0"/>
    <n v="0"/>
    <n v="0"/>
    <n v="0"/>
    <n v="0"/>
    <n v="703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6"/>
    <x v="0"/>
    <x v="4"/>
    <x v="0"/>
    <n v="2.1592645635639598"/>
    <n v="3.2303999123861803E-2"/>
    <n v="1.0716810381695601"/>
    <n v="2.9147610789748901"/>
    <n v="703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6"/>
    <x v="0"/>
    <x v="5"/>
    <x v="0"/>
    <n v="2.1425987257791901"/>
    <n v="3E+20"/>
    <n v="0"/>
    <n v="8.2305930959783602"/>
    <n v="703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7"/>
    <x v="0"/>
    <x v="0"/>
    <x v="0"/>
    <n v="0"/>
    <n v="0"/>
    <n v="0"/>
    <n v="0"/>
    <n v="632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7"/>
    <x v="0"/>
    <x v="1"/>
    <x v="0"/>
    <n v="0"/>
    <n v="0"/>
    <n v="0"/>
    <n v="0"/>
    <n v="632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7"/>
    <x v="0"/>
    <x v="2"/>
    <x v="0"/>
    <n v="3.1967028850880799"/>
    <n v="3E+20"/>
    <n v="1.23958241819486"/>
    <n v="9.25324113710343"/>
    <n v="632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7"/>
    <x v="0"/>
    <x v="3"/>
    <x v="0"/>
    <n v="0"/>
    <n v="0"/>
    <n v="0"/>
    <n v="0"/>
    <n v="632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7"/>
    <x v="0"/>
    <x v="4"/>
    <x v="0"/>
    <n v="2.1526523098208101"/>
    <n v="3.0225800870855499E-2"/>
    <n v="1.23958241819486"/>
    <n v="2.9448573820134198"/>
    <n v="632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7"/>
    <x v="0"/>
    <x v="5"/>
    <x v="0"/>
    <n v="1.04405057526727"/>
    <n v="3E+20"/>
    <n v="0"/>
    <n v="6.77737247691209"/>
    <n v="632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8"/>
    <x v="0"/>
    <x v="0"/>
    <x v="0"/>
    <n v="0"/>
    <n v="0"/>
    <n v="0"/>
    <n v="0"/>
    <n v="683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8"/>
    <x v="0"/>
    <x v="1"/>
    <x v="0"/>
    <n v="0"/>
    <n v="0"/>
    <n v="0"/>
    <n v="0"/>
    <n v="683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8"/>
    <x v="0"/>
    <x v="2"/>
    <x v="0"/>
    <n v="4.0761837849131304"/>
    <n v="3E+20"/>
    <n v="1.25029008579126"/>
    <n v="12.0027115267235"/>
    <n v="683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8"/>
    <x v="0"/>
    <x v="3"/>
    <x v="0"/>
    <n v="0"/>
    <n v="0"/>
    <n v="0"/>
    <n v="0"/>
    <n v="683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8"/>
    <x v="0"/>
    <x v="4"/>
    <x v="0"/>
    <n v="2.14268828624812"/>
    <n v="3.2662204318958901E-2"/>
    <n v="1.18602866533172"/>
    <n v="3.00479469152737"/>
    <n v="683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8"/>
    <x v="0"/>
    <x v="5"/>
    <x v="0"/>
    <n v="1.9334954986650099"/>
    <n v="3E+20"/>
    <n v="0"/>
    <n v="10.062852858643"/>
    <n v="683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9"/>
    <x v="0"/>
    <x v="0"/>
    <x v="0"/>
    <n v="0"/>
    <n v="0"/>
    <n v="0"/>
    <n v="0"/>
    <n v="729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9"/>
    <x v="0"/>
    <x v="1"/>
    <x v="0"/>
    <n v="0"/>
    <n v="0"/>
    <n v="0"/>
    <n v="0"/>
    <n v="729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9"/>
    <x v="0"/>
    <x v="2"/>
    <x v="0"/>
    <n v="5.4245064283989102"/>
    <n v="3E+20"/>
    <n v="1.30826616138248"/>
    <n v="16.799531229886998"/>
    <n v="729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29"/>
    <x v="0"/>
    <x v="3"/>
    <x v="0"/>
    <n v="0"/>
    <n v="0"/>
    <n v="0"/>
    <n v="0"/>
    <n v="729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29"/>
    <x v="0"/>
    <x v="4"/>
    <x v="0"/>
    <n v="2.1442976156137901"/>
    <n v="3E+20"/>
    <n v="1.15784501403203"/>
    <n v="2.9400670525255101"/>
    <n v="729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29"/>
    <x v="0"/>
    <x v="5"/>
    <x v="0"/>
    <n v="3.2802088127851201"/>
    <n v="3E+20"/>
    <n v="0"/>
    <n v="14.282258531030999"/>
    <n v="729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30"/>
    <x v="0"/>
    <x v="0"/>
    <x v="0"/>
    <n v="0"/>
    <n v="0"/>
    <n v="0"/>
    <n v="0"/>
    <n v="675"/>
    <s v="Unnamed ProjectEntity 1NVA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30"/>
    <x v="0"/>
    <x v="1"/>
    <x v="0"/>
    <n v="0"/>
    <n v="0"/>
    <n v="0"/>
    <n v="0"/>
    <n v="675"/>
    <s v="Unnamed ProjectEntity 1Oth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30"/>
    <x v="0"/>
    <x v="2"/>
    <x v="0"/>
    <n v="3.1082170930160999"/>
    <n v="0.187267494405158"/>
    <n v="1.35999945325182"/>
    <n v="7.5602607139378497"/>
    <n v="675"/>
    <s v="Unnamed ProjectEntity 1Total TimeEntity"/>
    <n v="30"/>
    <n v="3.7661591772463892"/>
    <n v="0.50768660989189007"/>
    <n v="0.95"/>
    <n v="0.18957329568354728"/>
    <n v="3.05178888852276"/>
    <n v="5.4245064283989102"/>
    <n v="1.1021083273538601"/>
    <n v="16.799531229886998"/>
    <n v="679.23333333333335"/>
    <n v="0.18957329568354728"/>
    <n v="30"/>
    <n v="1"/>
  </r>
  <r>
    <x v="0"/>
    <s v="2025-05-22 01:25:31"/>
    <n v="30"/>
    <x v="0"/>
    <x v="3"/>
    <x v="0"/>
    <n v="0"/>
    <n v="0"/>
    <n v="0"/>
    <n v="0"/>
    <n v="675"/>
    <s v="Unnamed ProjectEntity 1Transfer TimeEntity"/>
    <n v="30"/>
    <n v="0"/>
    <n v="0"/>
    <n v="0.95"/>
    <n v="0"/>
    <n v="0"/>
    <n v="0"/>
    <n v="0"/>
    <n v="0"/>
    <n v="679.23333333333335"/>
    <n v="0"/>
    <n v="30"/>
    <n v="1"/>
  </r>
  <r>
    <x v="0"/>
    <s v="2025-05-22 01:25:31"/>
    <n v="30"/>
    <x v="0"/>
    <x v="4"/>
    <x v="0"/>
    <n v="2.1849103472109301"/>
    <n v="3.6678989287876398E-2"/>
    <n v="1.1843361890926201"/>
    <n v="2.9091297471629201"/>
    <n v="675"/>
    <s v="Unnamed ProjectEntity 1VA TimeEntity"/>
    <n v="30"/>
    <n v="2.1646069252698128"/>
    <n v="1.4695575361039154E-2"/>
    <n v="0.95"/>
    <n v="5.4874180230031506E-3"/>
    <n v="2.1409329879735002"/>
    <n v="2.2049521112294199"/>
    <n v="1.02131826584019"/>
    <n v="3.1565601386708799"/>
    <n v="679.23333333333335"/>
    <n v="5.4874180230031506E-3"/>
    <n v="30"/>
    <n v="1"/>
  </r>
  <r>
    <x v="0"/>
    <s v="2025-05-22 01:25:31"/>
    <n v="30"/>
    <x v="0"/>
    <x v="5"/>
    <x v="0"/>
    <n v="0.92330674580516803"/>
    <n v="0.18583289369209899"/>
    <n v="0"/>
    <n v="5.1731286502891596"/>
    <n v="675"/>
    <s v="Unnamed ProjectEntity 1Wait TimeEntity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"/>
    <x v="1"/>
    <x v="6"/>
    <x v="1"/>
    <n v="5.4806506025659403E-2"/>
    <n v="2.0136444027779199E-2"/>
    <n v="0"/>
    <n v="0.722474902003853"/>
    <n v="705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"/>
    <x v="1"/>
    <x v="6"/>
    <x v="1"/>
    <n v="5.30885280560221E-2"/>
    <n v="1.5266836147332701E-2"/>
    <n v="0"/>
    <n v="0.64426072415057001"/>
    <n v="679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3"/>
    <x v="1"/>
    <x v="6"/>
    <x v="1"/>
    <n v="4.3049819335137698E-2"/>
    <n v="1.7584572026146598E-2"/>
    <n v="0"/>
    <n v="0.95063856845155204"/>
    <n v="661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4"/>
    <x v="1"/>
    <x v="6"/>
    <x v="1"/>
    <n v="4.6342814593743398E-2"/>
    <n v="1.4987223530482501E-2"/>
    <n v="0"/>
    <n v="0.87214380385267998"/>
    <n v="698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5"/>
    <x v="1"/>
    <x v="6"/>
    <x v="1"/>
    <n v="5.1886965016412302E-2"/>
    <n v="1.4445360129800799E-2"/>
    <n v="0"/>
    <n v="0.75617847099634605"/>
    <n v="702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6"/>
    <x v="1"/>
    <x v="6"/>
    <x v="1"/>
    <n v="3.8679320377810897E-2"/>
    <n v="9.1375373763251198E-3"/>
    <n v="0"/>
    <n v="0.586783669964973"/>
    <n v="660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7"/>
    <x v="1"/>
    <x v="6"/>
    <x v="1"/>
    <n v="4.4979831646228201E-2"/>
    <n v="1.0867811961451699E-2"/>
    <n v="0"/>
    <n v="0.86555312796400596"/>
    <n v="708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8"/>
    <x v="1"/>
    <x v="6"/>
    <x v="1"/>
    <n v="4.3183735491145299E-2"/>
    <n v="1.73553002258987E-2"/>
    <n v="0"/>
    <n v="0.75003854696044703"/>
    <n v="664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9"/>
    <x v="1"/>
    <x v="6"/>
    <x v="1"/>
    <n v="3.1674921671419901E-2"/>
    <n v="9.7755310889828303E-3"/>
    <n v="0"/>
    <n v="0.54518717098196101"/>
    <n v="650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0"/>
    <x v="1"/>
    <x v="6"/>
    <x v="1"/>
    <n v="4.6207157351079498E-2"/>
    <n v="1.7198092325175302E-2"/>
    <n v="0"/>
    <n v="1.1571081900022799"/>
    <n v="672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1"/>
    <x v="1"/>
    <x v="6"/>
    <x v="1"/>
    <n v="4.8431804764320803E-2"/>
    <n v="1.3754335598317E-2"/>
    <n v="0"/>
    <n v="0.68643977781508203"/>
    <n v="669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2"/>
    <x v="1"/>
    <x v="6"/>
    <x v="1"/>
    <n v="4.5332905855238997E-2"/>
    <n v="1.53500814037109E-2"/>
    <n v="0"/>
    <n v="0.84715558125753898"/>
    <n v="697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3"/>
    <x v="1"/>
    <x v="6"/>
    <x v="1"/>
    <n v="3.4467115709068699E-2"/>
    <n v="9.7019106090154399E-3"/>
    <n v="0"/>
    <n v="0.634689889319759"/>
    <n v="648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4"/>
    <x v="1"/>
    <x v="6"/>
    <x v="1"/>
    <n v="4.2771554367129302E-2"/>
    <n v="1.36826086264508E-2"/>
    <n v="0"/>
    <n v="0.64708320000443098"/>
    <n v="691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5"/>
    <x v="1"/>
    <x v="6"/>
    <x v="1"/>
    <n v="5.5478402117800897E-2"/>
    <n v="1.33018389159091E-2"/>
    <n v="0"/>
    <n v="0.96935823002712596"/>
    <n v="699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6"/>
    <x v="1"/>
    <x v="6"/>
    <x v="1"/>
    <n v="4.5600940895824803E-2"/>
    <n v="1.21582871703138E-2"/>
    <n v="0"/>
    <n v="0.68141156337327402"/>
    <n v="706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7"/>
    <x v="1"/>
    <x v="6"/>
    <x v="1"/>
    <n v="4.77443992352094E-2"/>
    <n v="1.7709184359645299E-2"/>
    <n v="0"/>
    <n v="0.81015947013727896"/>
    <n v="678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8"/>
    <x v="1"/>
    <x v="6"/>
    <x v="1"/>
    <n v="4.5476888679010202E-2"/>
    <n v="1.2992978831763501E-2"/>
    <n v="0"/>
    <n v="0.70979379056788605"/>
    <n v="648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9"/>
    <x v="1"/>
    <x v="6"/>
    <x v="1"/>
    <n v="3.4559876624612997E-2"/>
    <n v="3E+20"/>
    <n v="0"/>
    <n v="0.63563188604717902"/>
    <n v="691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0"/>
    <x v="1"/>
    <x v="6"/>
    <x v="1"/>
    <n v="3.6953020544779697E-2"/>
    <n v="1.39317330503593E-2"/>
    <n v="0"/>
    <n v="0.65946342109015199"/>
    <n v="641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1"/>
    <x v="1"/>
    <x v="6"/>
    <x v="1"/>
    <n v="5.3254791029035797E-2"/>
    <n v="1.7827417707625502E-2"/>
    <n v="0"/>
    <n v="0.70122049263041197"/>
    <n v="678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2"/>
    <x v="1"/>
    <x v="6"/>
    <x v="1"/>
    <n v="4.2952947931466999E-2"/>
    <n v="3E+20"/>
    <n v="0"/>
    <n v="0.73216312017907403"/>
    <n v="664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3"/>
    <x v="1"/>
    <x v="6"/>
    <x v="1"/>
    <n v="5.4931155930932403E-2"/>
    <n v="1.9649552158566501E-2"/>
    <n v="0"/>
    <n v="0.75174889770565301"/>
    <n v="718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4"/>
    <x v="1"/>
    <x v="6"/>
    <x v="1"/>
    <n v="4.6038914646687801E-2"/>
    <n v="1.87554459542532E-2"/>
    <n v="0"/>
    <n v="0.92502658756137601"/>
    <n v="661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5"/>
    <x v="1"/>
    <x v="6"/>
    <x v="1"/>
    <n v="5.07072379759647E-2"/>
    <n v="3E+20"/>
    <n v="0"/>
    <n v="0.71740846254675705"/>
    <n v="701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6"/>
    <x v="1"/>
    <x v="6"/>
    <x v="1"/>
    <n v="4.3523929724170997E-2"/>
    <n v="1.6713525335741601E-2"/>
    <n v="0"/>
    <n v="0.74173381143026496"/>
    <n v="703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7"/>
    <x v="1"/>
    <x v="6"/>
    <x v="1"/>
    <n v="4.1661021553251999E-2"/>
    <n v="1.27164752181184E-2"/>
    <n v="0"/>
    <n v="0.63781272414882995"/>
    <n v="634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8"/>
    <x v="1"/>
    <x v="6"/>
    <x v="1"/>
    <n v="4.6649231851711E-2"/>
    <n v="1.65516572462008E-2"/>
    <n v="0"/>
    <n v="0.74227222499592904"/>
    <n v="684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29"/>
    <x v="1"/>
    <x v="6"/>
    <x v="1"/>
    <n v="4.10821424232162E-2"/>
    <n v="7.83600284531372E-3"/>
    <n v="0"/>
    <n v="0.64108633287955297"/>
    <n v="731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30"/>
    <x v="1"/>
    <x v="6"/>
    <x v="1"/>
    <n v="4.8839292190484801E-2"/>
    <n v="1.5567038911022299E-2"/>
    <n v="0"/>
    <n v="0.69570032586761998"/>
    <n v="677"/>
    <s v="Unnamed ProjectEsperar Pedido.QueueWaiting TimeQueue"/>
    <n v="30"/>
    <n v="4.5345239120485908E-2"/>
    <n v="6.1686917617851883E-3"/>
    <n v="0.95"/>
    <n v="2.3034273596197249E-3"/>
    <n v="3.1674921671419901E-2"/>
    <n v="5.5478402117800897E-2"/>
    <n v="0"/>
    <n v="1.1571081900022799"/>
    <n v="680.6"/>
    <n v="2.3034273596197249E-3"/>
    <n v="30"/>
    <n v="1"/>
  </r>
  <r>
    <x v="0"/>
    <s v="2025-05-22 01:25:31"/>
    <n v="1"/>
    <x v="2"/>
    <x v="6"/>
    <x v="1"/>
    <n v="1.61448800108035"/>
    <n v="3E+20"/>
    <n v="0"/>
    <n v="6.8924794745231601"/>
    <n v="707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"/>
    <x v="2"/>
    <x v="6"/>
    <x v="1"/>
    <n v="1.2444915083950701"/>
    <n v="0.32055856185057302"/>
    <n v="0"/>
    <n v="4.5671924774518704"/>
    <n v="681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3"/>
    <x v="2"/>
    <x v="6"/>
    <x v="1"/>
    <n v="1.60877367705625"/>
    <n v="0.77733599225835504"/>
    <n v="0"/>
    <n v="8.8641581014092594"/>
    <n v="663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4"/>
    <x v="2"/>
    <x v="6"/>
    <x v="1"/>
    <n v="1.67112869667866"/>
    <n v="0.75678397247515194"/>
    <n v="0"/>
    <n v="8.7457176495751394"/>
    <n v="701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5"/>
    <x v="2"/>
    <x v="6"/>
    <x v="1"/>
    <n v="1.4655499554412299"/>
    <n v="0.47131797232352601"/>
    <n v="0"/>
    <n v="6.88793206282645"/>
    <n v="704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6"/>
    <x v="2"/>
    <x v="6"/>
    <x v="1"/>
    <n v="1.22286662046335"/>
    <n v="0.69991317937500297"/>
    <n v="0"/>
    <n v="8.6383385086734794"/>
    <n v="663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7"/>
    <x v="2"/>
    <x v="6"/>
    <x v="1"/>
    <n v="1.6045597591826899"/>
    <n v="0.47287814734523298"/>
    <n v="0"/>
    <n v="6.4942548100423796"/>
    <n v="710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8"/>
    <x v="2"/>
    <x v="6"/>
    <x v="1"/>
    <n v="1.3449527003248101"/>
    <n v="0.52924079635129795"/>
    <n v="0"/>
    <n v="6.4421888342566804"/>
    <n v="666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9"/>
    <x v="2"/>
    <x v="6"/>
    <x v="1"/>
    <n v="0.92637438822166196"/>
    <n v="3E+20"/>
    <n v="0"/>
    <n v="5.3069457158035203"/>
    <n v="652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0"/>
    <x v="2"/>
    <x v="6"/>
    <x v="1"/>
    <n v="0.89618224281141301"/>
    <n v="3E+20"/>
    <n v="0"/>
    <n v="4.5299099165245202"/>
    <n v="674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1"/>
    <x v="2"/>
    <x v="6"/>
    <x v="1"/>
    <n v="1.9106428677517"/>
    <n v="3E+20"/>
    <n v="0"/>
    <n v="10.312800499786"/>
    <n v="670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2"/>
    <x v="2"/>
    <x v="6"/>
    <x v="1"/>
    <n v="2.0740099941180201"/>
    <n v="3E+20"/>
    <n v="0"/>
    <n v="8.3094078146274306"/>
    <n v="699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3"/>
    <x v="2"/>
    <x v="6"/>
    <x v="1"/>
    <n v="0.85573159178621905"/>
    <n v="3E+20"/>
    <n v="0"/>
    <n v="5.6764045000728602"/>
    <n v="650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4"/>
    <x v="2"/>
    <x v="6"/>
    <x v="1"/>
    <n v="1.74605889507886"/>
    <n v="0.55539943133513703"/>
    <n v="0"/>
    <n v="6.7400223676645199"/>
    <n v="693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5"/>
    <x v="2"/>
    <x v="6"/>
    <x v="1"/>
    <n v="1.6401426131047401"/>
    <n v="0.50478629512761197"/>
    <n v="0"/>
    <n v="5.9111393715373"/>
    <n v="700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6"/>
    <x v="2"/>
    <x v="6"/>
    <x v="1"/>
    <n v="2.1362704637192298"/>
    <n v="3E+20"/>
    <n v="0"/>
    <n v="10.041584174566401"/>
    <n v="706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7"/>
    <x v="2"/>
    <x v="6"/>
    <x v="1"/>
    <n v="2.05819290438451"/>
    <n v="3E+20"/>
    <n v="0"/>
    <n v="8.9691484470606309"/>
    <n v="679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8"/>
    <x v="2"/>
    <x v="6"/>
    <x v="1"/>
    <n v="1.05681373383046"/>
    <n v="3E+20"/>
    <n v="0"/>
    <n v="5.7335142127826098"/>
    <n v="650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9"/>
    <x v="2"/>
    <x v="6"/>
    <x v="1"/>
    <n v="1.3553642328650899"/>
    <n v="0.45063360066219699"/>
    <n v="0"/>
    <n v="7.0429138331079999"/>
    <n v="692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0"/>
    <x v="2"/>
    <x v="6"/>
    <x v="1"/>
    <n v="1.40631999779567"/>
    <n v="3E+20"/>
    <n v="0"/>
    <n v="6.3518469496590297"/>
    <n v="643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1"/>
    <x v="2"/>
    <x v="6"/>
    <x v="1"/>
    <n v="1.4925074126461699"/>
    <n v="0.43561845237399699"/>
    <n v="0"/>
    <n v="6.1893439409455198"/>
    <n v="680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2"/>
    <x v="2"/>
    <x v="6"/>
    <x v="1"/>
    <n v="1.0483833668848599"/>
    <n v="0.44223226216126199"/>
    <n v="0"/>
    <n v="6.1671034465623498"/>
    <n v="664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3"/>
    <x v="2"/>
    <x v="6"/>
    <x v="1"/>
    <n v="2.0648692341964598"/>
    <n v="0.77833931416026902"/>
    <n v="0"/>
    <n v="11.1602748843609"/>
    <n v="720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4"/>
    <x v="2"/>
    <x v="6"/>
    <x v="1"/>
    <n v="1.5386094314435801"/>
    <n v="0.80140624156039997"/>
    <n v="0"/>
    <n v="10.279081704916299"/>
    <n v="663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5"/>
    <x v="2"/>
    <x v="6"/>
    <x v="1"/>
    <n v="1.60244501791116"/>
    <n v="0.56443949259733905"/>
    <n v="0"/>
    <n v="6.63055527496343"/>
    <n v="703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6"/>
    <x v="2"/>
    <x v="6"/>
    <x v="1"/>
    <n v="2.09907479605502"/>
    <n v="3E+20"/>
    <n v="0"/>
    <n v="8.2305930959783602"/>
    <n v="703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7"/>
    <x v="2"/>
    <x v="6"/>
    <x v="1"/>
    <n v="1.0202369769446"/>
    <n v="3E+20"/>
    <n v="0"/>
    <n v="6.77737247691209"/>
    <n v="636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8"/>
    <x v="2"/>
    <x v="6"/>
    <x v="1"/>
    <n v="1.8796582355898399"/>
    <n v="3E+20"/>
    <n v="0"/>
    <n v="10.062852858643"/>
    <n v="686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29"/>
    <x v="2"/>
    <x v="6"/>
    <x v="1"/>
    <n v="3.2591534503304098"/>
    <n v="3E+20"/>
    <n v="0"/>
    <n v="14.282258531030999"/>
    <n v="733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30"/>
    <x v="2"/>
    <x v="6"/>
    <x v="1"/>
    <n v="0.87433597726635304"/>
    <n v="0.17985158452445099"/>
    <n v="0"/>
    <n v="4.9982689881092899"/>
    <n v="679"/>
    <s v="Unnamed ProjectOcuparCajero.QueueWaiting TimeQueue"/>
    <n v="30"/>
    <n v="1.557272958111948"/>
    <n v="0.50915666046508157"/>
    <n v="0.95"/>
    <n v="0.1901222215889217"/>
    <n v="0.85573159178621905"/>
    <n v="3.2591534503304098"/>
    <n v="0"/>
    <n v="14.282258531030999"/>
    <n v="682.33333333333337"/>
    <n v="0.1901222215889217"/>
    <n v="30"/>
    <n v="1"/>
  </r>
  <r>
    <x v="0"/>
    <s v="2025-05-22 01:25:31"/>
    <n v="1"/>
    <x v="3"/>
    <x v="7"/>
    <x v="2"/>
    <n v="2.8449502133712602E-2"/>
    <n v="3.8820703865477597E-2"/>
    <n v="0"/>
    <n v="1"/>
    <n v="703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"/>
    <x v="3"/>
    <x v="7"/>
    <x v="2"/>
    <n v="0"/>
    <n v="0"/>
    <n v="0"/>
    <n v="0"/>
    <n v="679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3"/>
    <x v="3"/>
    <x v="7"/>
    <x v="2"/>
    <n v="8.95295902883156E-2"/>
    <n v="0.11914515448195399"/>
    <n v="0"/>
    <n v="1"/>
    <n v="659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4"/>
    <x v="3"/>
    <x v="7"/>
    <x v="2"/>
    <n v="6.6091954022988494E-2"/>
    <n v="0.100447495051658"/>
    <n v="0"/>
    <n v="1"/>
    <n v="696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5"/>
    <x v="3"/>
    <x v="7"/>
    <x v="2"/>
    <n v="2.56776034236804E-2"/>
    <n v="2.7833835449562701E-2"/>
    <n v="0"/>
    <n v="1"/>
    <n v="701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6"/>
    <x v="3"/>
    <x v="7"/>
    <x v="2"/>
    <n v="5.7750759878419398E-2"/>
    <n v="9.2850689414639503E-2"/>
    <n v="0"/>
    <n v="1"/>
    <n v="658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7"/>
    <x v="3"/>
    <x v="7"/>
    <x v="2"/>
    <n v="3.5360678925035298E-2"/>
    <n v="5.0474943226739899E-2"/>
    <n v="0"/>
    <n v="1"/>
    <n v="707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8"/>
    <x v="3"/>
    <x v="7"/>
    <x v="2"/>
    <n v="2.2658610271903398E-2"/>
    <n v="2.21930238762915E-2"/>
    <n v="0"/>
    <n v="1"/>
    <n v="662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9"/>
    <x v="3"/>
    <x v="7"/>
    <x v="2"/>
    <n v="3.08166409861325E-3"/>
    <n v="4.4496380578822204E-3"/>
    <n v="0"/>
    <n v="1"/>
    <n v="649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0"/>
    <x v="3"/>
    <x v="7"/>
    <x v="2"/>
    <n v="0"/>
    <n v="0"/>
    <n v="0"/>
    <n v="0"/>
    <n v="670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1"/>
    <x v="3"/>
    <x v="7"/>
    <x v="2"/>
    <n v="0.14221556886227599"/>
    <n v="3E+20"/>
    <n v="0"/>
    <n v="1"/>
    <n v="668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2"/>
    <x v="3"/>
    <x v="7"/>
    <x v="2"/>
    <n v="8.9208633093525197E-2"/>
    <n v="3E+20"/>
    <n v="0"/>
    <n v="1"/>
    <n v="695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3"/>
    <x v="3"/>
    <x v="7"/>
    <x v="2"/>
    <n v="6.19195046439628E-3"/>
    <n v="1.2749999999999999E-2"/>
    <n v="0"/>
    <n v="1"/>
    <n v="646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4"/>
    <x v="3"/>
    <x v="7"/>
    <x v="2"/>
    <n v="5.6521739130434803E-2"/>
    <n v="6.1889018824357399E-2"/>
    <n v="0"/>
    <n v="1"/>
    <n v="690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5"/>
    <x v="3"/>
    <x v="7"/>
    <x v="2"/>
    <n v="1.57367668097282E-2"/>
    <n v="2.8314356389961898E-2"/>
    <n v="0"/>
    <n v="1"/>
    <n v="699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6"/>
    <x v="3"/>
    <x v="7"/>
    <x v="2"/>
    <n v="0.12765957446808501"/>
    <n v="3E+20"/>
    <n v="0"/>
    <n v="1"/>
    <n v="705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7"/>
    <x v="3"/>
    <x v="7"/>
    <x v="2"/>
    <n v="0.15384615384615399"/>
    <n v="3E+20"/>
    <n v="0"/>
    <n v="1"/>
    <n v="676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8"/>
    <x v="3"/>
    <x v="7"/>
    <x v="2"/>
    <n v="9.28792569659442E-3"/>
    <n v="3E+20"/>
    <n v="0"/>
    <n v="1"/>
    <n v="646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9"/>
    <x v="3"/>
    <x v="7"/>
    <x v="2"/>
    <n v="2.7536231884058002E-2"/>
    <n v="3.67945243557984E-2"/>
    <n v="0"/>
    <n v="1"/>
    <n v="690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0"/>
    <x v="3"/>
    <x v="7"/>
    <x v="2"/>
    <n v="4.5383411580594703E-2"/>
    <n v="4.8837306731711001E-2"/>
    <n v="0"/>
    <n v="1"/>
    <n v="639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1"/>
    <x v="3"/>
    <x v="7"/>
    <x v="2"/>
    <n v="1.32743362831859E-2"/>
    <n v="1.5949497118509199E-2"/>
    <n v="0"/>
    <n v="1"/>
    <n v="678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2"/>
    <x v="3"/>
    <x v="7"/>
    <x v="2"/>
    <n v="1.2066365007541499E-2"/>
    <n v="2.6162500000000002E-2"/>
    <n v="0"/>
    <n v="1"/>
    <n v="663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3"/>
    <x v="3"/>
    <x v="7"/>
    <x v="2"/>
    <n v="0.108786610878661"/>
    <n v="0.105342622349321"/>
    <n v="0"/>
    <n v="1"/>
    <n v="717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4"/>
    <x v="3"/>
    <x v="7"/>
    <x v="2"/>
    <n v="8.1818181818181707E-2"/>
    <n v="8.8530814776481406E-2"/>
    <n v="0"/>
    <n v="1"/>
    <n v="660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5"/>
    <x v="3"/>
    <x v="7"/>
    <x v="2"/>
    <n v="5.2932761087267501E-2"/>
    <n v="6.57907602323035E-2"/>
    <n v="0"/>
    <n v="1"/>
    <n v="699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6"/>
    <x v="3"/>
    <x v="7"/>
    <x v="2"/>
    <n v="0.108108108108108"/>
    <n v="8.3489965818420997E-2"/>
    <n v="0"/>
    <n v="1"/>
    <n v="703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7"/>
    <x v="3"/>
    <x v="7"/>
    <x v="2"/>
    <n v="1.5822784810126601E-2"/>
    <n v="2.37530423890151E-2"/>
    <n v="0"/>
    <n v="1"/>
    <n v="632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8"/>
    <x v="3"/>
    <x v="7"/>
    <x v="2"/>
    <n v="0.108345534407028"/>
    <n v="3E+20"/>
    <n v="0"/>
    <n v="1"/>
    <n v="683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29"/>
    <x v="3"/>
    <x v="7"/>
    <x v="2"/>
    <n v="0.25925925925925902"/>
    <n v="3E+20"/>
    <n v="0"/>
    <n v="1"/>
    <n v="729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30"/>
    <x v="3"/>
    <x v="7"/>
    <x v="2"/>
    <n v="1.4814814814814801E-3"/>
    <n v="3.10416666666667E-3"/>
    <n v="0"/>
    <n v="1"/>
    <n v="675"/>
    <s v="Unnamed ProjectProbabilidadmayor5ExpressionUser Specified"/>
    <n v="30"/>
    <n v="5.8802791400645191E-2"/>
    <n v="5.9395857252645602E-2"/>
    <n v="0.95"/>
    <n v="2.2178777596145966E-2"/>
    <n v="0"/>
    <n v="0.25925925925925902"/>
    <n v="0"/>
    <n v="1"/>
    <n v="679.23333333333335"/>
    <n v="2.2178777596145966E-2"/>
    <n v="30"/>
    <n v="1"/>
  </r>
  <r>
    <x v="0"/>
    <s v="2025-05-22 01:25:31"/>
    <n v="1"/>
    <x v="4"/>
    <x v="7"/>
    <x v="2"/>
    <n v="1.6695630164376001"/>
    <n v="3E+20"/>
    <n v="0"/>
    <n v="7.6149543765270096"/>
    <n v="703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"/>
    <x v="4"/>
    <x v="7"/>
    <x v="2"/>
    <n v="1.3012456962696299"/>
    <n v="0.32382189161082597"/>
    <n v="0"/>
    <n v="4.5671924774518704"/>
    <n v="679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3"/>
    <x v="4"/>
    <x v="7"/>
    <x v="2"/>
    <n v="1.65328729975796"/>
    <n v="0.77897390127316302"/>
    <n v="0"/>
    <n v="8.9310640927880591"/>
    <n v="659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4"/>
    <x v="4"/>
    <x v="7"/>
    <x v="2"/>
    <n v="1.71138679192927"/>
    <n v="0.75743768840846704"/>
    <n v="0"/>
    <n v="8.7457176495751394"/>
    <n v="696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5"/>
    <x v="4"/>
    <x v="7"/>
    <x v="2"/>
    <n v="1.5114530352209099"/>
    <n v="0.49557086139269102"/>
    <n v="0"/>
    <n v="6.88793206282645"/>
    <n v="701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6"/>
    <x v="4"/>
    <x v="7"/>
    <x v="2"/>
    <n v="1.26013605548956"/>
    <n v="0.70154762975862495"/>
    <n v="0"/>
    <n v="8.6383385086734794"/>
    <n v="658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7"/>
    <x v="4"/>
    <x v="7"/>
    <x v="2"/>
    <n v="1.6484515993422799"/>
    <n v="0.47244635769695398"/>
    <n v="0"/>
    <n v="6.4942548100423796"/>
    <n v="707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8"/>
    <x v="4"/>
    <x v="7"/>
    <x v="2"/>
    <n v="1.39294136367296"/>
    <n v="0.53743949150755699"/>
    <n v="0"/>
    <n v="6.4421888342566804"/>
    <n v="662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9"/>
    <x v="4"/>
    <x v="7"/>
    <x v="2"/>
    <n v="0.959818270854919"/>
    <n v="3E+20"/>
    <n v="0"/>
    <n v="5.3239026399232898"/>
    <n v="649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0"/>
    <x v="4"/>
    <x v="7"/>
    <x v="2"/>
    <n v="0.942915171427407"/>
    <n v="3E+20"/>
    <n v="0"/>
    <n v="4.5788647967169904"/>
    <n v="670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1"/>
    <x v="4"/>
    <x v="7"/>
    <x v="2"/>
    <n v="1.96486766284576"/>
    <n v="3E+20"/>
    <n v="0"/>
    <n v="10.342217988012999"/>
    <n v="668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2"/>
    <x v="4"/>
    <x v="7"/>
    <x v="2"/>
    <n v="2.1249892719333801"/>
    <n v="3E+20"/>
    <n v="0"/>
    <n v="8.3094078146274306"/>
    <n v="695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3"/>
    <x v="4"/>
    <x v="7"/>
    <x v="2"/>
    <n v="0.89357558090575995"/>
    <n v="3E+20"/>
    <n v="0"/>
    <n v="5.6764045000728602"/>
    <n v="646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4"/>
    <x v="4"/>
    <x v="7"/>
    <x v="2"/>
    <n v="1.7764090463930999"/>
    <n v="0.55766016204447399"/>
    <n v="0"/>
    <n v="6.8386653251987202"/>
    <n v="690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5"/>
    <x v="4"/>
    <x v="7"/>
    <x v="2"/>
    <n v="1.69796742811682"/>
    <n v="0.50456423638360604"/>
    <n v="0"/>
    <n v="6.3900911014144697"/>
    <n v="699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6"/>
    <x v="4"/>
    <x v="7"/>
    <x v="2"/>
    <n v="2.1849662576712401"/>
    <n v="3E+20"/>
    <n v="0"/>
    <n v="10.0568478135137"/>
    <n v="705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7"/>
    <x v="4"/>
    <x v="7"/>
    <x v="2"/>
    <n v="2.1145971301677702"/>
    <n v="3E+20"/>
    <n v="0"/>
    <n v="9.1237861209264093"/>
    <n v="676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8"/>
    <x v="4"/>
    <x v="7"/>
    <x v="2"/>
    <n v="1.07890187047968"/>
    <n v="3E+20"/>
    <n v="0"/>
    <n v="5.8387839987840398"/>
    <n v="646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9"/>
    <x v="4"/>
    <x v="7"/>
    <x v="2"/>
    <n v="1.39236165920571"/>
    <n v="0.45174455872672797"/>
    <n v="0"/>
    <n v="7.2531399381915698"/>
    <n v="690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0"/>
    <x v="4"/>
    <x v="7"/>
    <x v="2"/>
    <n v="1.4272004157303799"/>
    <n v="3E+20"/>
    <n v="0"/>
    <n v="6.7705191495925003"/>
    <n v="639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1"/>
    <x v="4"/>
    <x v="7"/>
    <x v="2"/>
    <n v="1.5501648804086801"/>
    <n v="0.44502444686168202"/>
    <n v="0"/>
    <n v="6.4001163932224499"/>
    <n v="678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2"/>
    <x v="4"/>
    <x v="7"/>
    <x v="2"/>
    <n v="1.0929823726064001"/>
    <n v="0.45114336780861902"/>
    <n v="0"/>
    <n v="6.3605266454428797"/>
    <n v="663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3"/>
    <x v="4"/>
    <x v="7"/>
    <x v="2"/>
    <n v="2.1204422779421699"/>
    <n v="0.78907546258783801"/>
    <n v="0"/>
    <n v="11.202006929319399"/>
    <n v="717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4"/>
    <x v="4"/>
    <x v="7"/>
    <x v="2"/>
    <n v="1.5906906674889301"/>
    <n v="0.80036425173724302"/>
    <n v="0"/>
    <n v="10.279081704916299"/>
    <n v="660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5"/>
    <x v="4"/>
    <x v="7"/>
    <x v="2"/>
    <n v="1.66159237869724"/>
    <n v="0.56651848351022005"/>
    <n v="0"/>
    <n v="6.63055527496343"/>
    <n v="699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6"/>
    <x v="4"/>
    <x v="7"/>
    <x v="2"/>
    <n v="2.1425987257791901"/>
    <n v="3E+20"/>
    <n v="0"/>
    <n v="8.2305930959783602"/>
    <n v="703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7"/>
    <x v="4"/>
    <x v="7"/>
    <x v="2"/>
    <n v="1.04405057526727"/>
    <n v="3E+20"/>
    <n v="0"/>
    <n v="6.77737247691209"/>
    <n v="632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8"/>
    <x v="4"/>
    <x v="7"/>
    <x v="2"/>
    <n v="1.9334954986650099"/>
    <n v="3E+20"/>
    <n v="0"/>
    <n v="10.062852858643"/>
    <n v="683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29"/>
    <x v="4"/>
    <x v="7"/>
    <x v="2"/>
    <n v="3.2802088127851201"/>
    <n v="3E+20"/>
    <n v="0"/>
    <n v="14.282258531030999"/>
    <n v="729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30"/>
    <x v="4"/>
    <x v="7"/>
    <x v="2"/>
    <n v="0.92330674580516803"/>
    <n v="0.18583289369209899"/>
    <n v="0"/>
    <n v="5.1731286502891596"/>
    <n v="675"/>
    <s v="Unnamed ProjectTiempoEsperaExpressionUser Specified"/>
    <n v="30"/>
    <n v="1.6015522519765757"/>
    <n v="0.51022158284507146"/>
    <n v="0.95"/>
    <n v="0.19051987014078101"/>
    <n v="0.89357558090575995"/>
    <n v="3.2802088127851201"/>
    <n v="0"/>
    <n v="14.282258531030999"/>
    <n v="679.23333333333335"/>
    <n v="0.19051987014078101"/>
    <n v="30"/>
    <n v="1"/>
  </r>
  <r>
    <x v="0"/>
    <s v="2025-05-22 01:25:31"/>
    <n v="1"/>
    <x v="5"/>
    <x v="7"/>
    <x v="2"/>
    <n v="241.65455135788201"/>
    <n v="3E+20"/>
    <n v="9.5082724301605401E-2"/>
    <n v="476.62103730658998"/>
    <n v="703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"/>
    <x v="5"/>
    <x v="7"/>
    <x v="2"/>
    <n v="238.29150201265301"/>
    <n v="3E+20"/>
    <n v="5.7909985202267797E-2"/>
    <n v="477.42035352419202"/>
    <n v="679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3"/>
    <x v="5"/>
    <x v="7"/>
    <x v="2"/>
    <n v="234.96813328910201"/>
    <n v="3E+20"/>
    <n v="0.21265227887422999"/>
    <n v="477.58286325080002"/>
    <n v="659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4"/>
    <x v="5"/>
    <x v="7"/>
    <x v="2"/>
    <n v="235.80335930731201"/>
    <n v="3E+20"/>
    <n v="0.489714739477359"/>
    <n v="475.522719333233"/>
    <n v="696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5"/>
    <x v="5"/>
    <x v="7"/>
    <x v="2"/>
    <n v="242.19360080537899"/>
    <n v="3E+20"/>
    <n v="1.9953147652557801"/>
    <n v="475.69455397689899"/>
    <n v="701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6"/>
    <x v="5"/>
    <x v="7"/>
    <x v="2"/>
    <n v="232.71491730012099"/>
    <n v="3E+20"/>
    <n v="0.77630874764876301"/>
    <n v="474.67515721877299"/>
    <n v="658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7"/>
    <x v="5"/>
    <x v="7"/>
    <x v="2"/>
    <n v="233.45971916672099"/>
    <n v="3E+20"/>
    <n v="0.48213464156505098"/>
    <n v="475.188056860004"/>
    <n v="707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8"/>
    <x v="5"/>
    <x v="7"/>
    <x v="2"/>
    <n v="244.89615894264099"/>
    <n v="3E+20"/>
    <n v="0.37909661432095898"/>
    <n v="475.21427673412899"/>
    <n v="662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9"/>
    <x v="5"/>
    <x v="7"/>
    <x v="2"/>
    <n v="235.27274769921399"/>
    <n v="3E+20"/>
    <n v="0.87464647594710099"/>
    <n v="478.03596015454099"/>
    <n v="649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0"/>
    <x v="5"/>
    <x v="7"/>
    <x v="2"/>
    <n v="236.384699787199"/>
    <n v="3E+20"/>
    <n v="0.21620306842418499"/>
    <n v="477.11278457630499"/>
    <n v="670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1"/>
    <x v="5"/>
    <x v="7"/>
    <x v="2"/>
    <n v="237.19102434391601"/>
    <n v="3E+20"/>
    <n v="3.3492947103959301E-3"/>
    <n v="477.34483699030199"/>
    <n v="668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2"/>
    <x v="5"/>
    <x v="7"/>
    <x v="2"/>
    <n v="237.84421143189601"/>
    <n v="3E+20"/>
    <n v="0.61917905125233696"/>
    <n v="476.263266504716"/>
    <n v="695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3"/>
    <x v="5"/>
    <x v="7"/>
    <x v="2"/>
    <n v="243.19282615072899"/>
    <n v="3E+20"/>
    <n v="9.8717220752425394E-2"/>
    <n v="475.44296320997898"/>
    <n v="646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4"/>
    <x v="5"/>
    <x v="7"/>
    <x v="2"/>
    <n v="239.24662484705101"/>
    <n v="3E+20"/>
    <n v="0.68426961283284504"/>
    <n v="473.93413480663099"/>
    <n v="690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5"/>
    <x v="5"/>
    <x v="7"/>
    <x v="2"/>
    <n v="239.46560763297001"/>
    <n v="3E+20"/>
    <n v="0.37216472210794099"/>
    <n v="475.411207221918"/>
    <n v="699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6"/>
    <x v="5"/>
    <x v="7"/>
    <x v="2"/>
    <n v="238.55687077774201"/>
    <n v="3E+20"/>
    <n v="0.98922823214083599"/>
    <n v="477.57469504449398"/>
    <n v="705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7"/>
    <x v="5"/>
    <x v="7"/>
    <x v="2"/>
    <n v="226.08366462807001"/>
    <n v="3E+20"/>
    <n v="0.42042752667778799"/>
    <n v="474.18140215470498"/>
    <n v="676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8"/>
    <x v="5"/>
    <x v="7"/>
    <x v="2"/>
    <n v="238.64339288728701"/>
    <n v="3E+20"/>
    <n v="0.23036473427131901"/>
    <n v="472.85367498302202"/>
    <n v="646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19"/>
    <x v="5"/>
    <x v="7"/>
    <x v="2"/>
    <n v="239.65934150702299"/>
    <n v="3E+20"/>
    <n v="5.9500166529787998E-2"/>
    <n v="476.383620330886"/>
    <n v="690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0"/>
    <x v="5"/>
    <x v="7"/>
    <x v="2"/>
    <n v="231.259413721774"/>
    <n v="3E+20"/>
    <n v="0.42713964664651599"/>
    <n v="473.795586454881"/>
    <n v="639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1"/>
    <x v="5"/>
    <x v="7"/>
    <x v="2"/>
    <n v="233.78576768403201"/>
    <n v="3E+20"/>
    <n v="0.57694845647409398"/>
    <n v="478.14848275515902"/>
    <n v="678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2"/>
    <x v="5"/>
    <x v="7"/>
    <x v="2"/>
    <n v="234.72286188445199"/>
    <n v="3E+20"/>
    <n v="0.72867567899529695"/>
    <n v="476.85411641461201"/>
    <n v="663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3"/>
    <x v="5"/>
    <x v="7"/>
    <x v="2"/>
    <n v="236.925783837745"/>
    <n v="3E+20"/>
    <n v="1.5949020079013501"/>
    <n v="477.24456752637701"/>
    <n v="717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4"/>
    <x v="5"/>
    <x v="7"/>
    <x v="2"/>
    <n v="242.553686442691"/>
    <n v="3E+20"/>
    <n v="0.87882162244244999"/>
    <n v="477.57034558582899"/>
    <n v="660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5"/>
    <x v="5"/>
    <x v="7"/>
    <x v="2"/>
    <n v="244.04449770778601"/>
    <n v="3E+20"/>
    <n v="0.497389465268402"/>
    <n v="476.79259330163899"/>
    <n v="699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6"/>
    <x v="5"/>
    <x v="7"/>
    <x v="2"/>
    <n v="237.37271969807199"/>
    <n v="3E+20"/>
    <n v="0.299106955736825"/>
    <n v="477.10286303952699"/>
    <n v="703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7"/>
    <x v="5"/>
    <x v="7"/>
    <x v="2"/>
    <n v="246.36608989585901"/>
    <n v="3E+20"/>
    <n v="0.127478734309976"/>
    <n v="473.09157341291899"/>
    <n v="632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8"/>
    <x v="5"/>
    <x v="7"/>
    <x v="2"/>
    <n v="241.81533260937599"/>
    <n v="3E+20"/>
    <n v="0.34838615380944599"/>
    <n v="477.05906314414699"/>
    <n v="683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29"/>
    <x v="5"/>
    <x v="7"/>
    <x v="2"/>
    <n v="237.03827619282299"/>
    <n v="3E+20"/>
    <n v="0.66559287078420404"/>
    <n v="471.28132210632401"/>
    <n v="729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  <r>
    <x v="0"/>
    <s v="2025-05-22 01:25:31"/>
    <n v="30"/>
    <x v="5"/>
    <x v="7"/>
    <x v="2"/>
    <n v="239.902029052969"/>
    <n v="3E+20"/>
    <n v="1.1496387391535401"/>
    <n v="475.94091972632901"/>
    <n v="675"/>
    <s v="Unnamed ProjectTiempoSistemaExpressionUser Specified"/>
    <n v="30"/>
    <n v="238.04364708674956"/>
    <n v="4.3541719605327343"/>
    <n v="0.95"/>
    <n v="1.6258745305629705"/>
    <n v="226.08366462807001"/>
    <n v="246.36608989585901"/>
    <n v="3.3492947103959301E-3"/>
    <n v="478.14848275515902"/>
    <n v="679.23333333333335"/>
    <n v="1.6258745305629705"/>
    <n v="3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5-22 01:25:31"/>
    <n v="1"/>
    <x v="0"/>
    <x v="0"/>
    <x v="0"/>
    <n v="710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"/>
    <x v="1"/>
    <x v="1"/>
    <x v="0"/>
    <n v="703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"/>
    <x v="2"/>
    <x v="1"/>
    <x v="1"/>
    <n v="703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"/>
    <x v="3"/>
    <x v="2"/>
    <x v="2"/>
    <n v="707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"/>
    <x v="4"/>
    <x v="3"/>
    <x v="2"/>
    <n v="0.888747032669718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"/>
    <x v="5"/>
    <x v="2"/>
    <x v="2"/>
    <n v="705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"/>
    <x v="6"/>
    <x v="3"/>
    <x v="2"/>
    <n v="0.71184341420816899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"/>
    <x v="0"/>
    <x v="0"/>
    <x v="0"/>
    <n v="683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"/>
    <x v="1"/>
    <x v="1"/>
    <x v="0"/>
    <n v="679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"/>
    <x v="2"/>
    <x v="1"/>
    <x v="1"/>
    <n v="679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"/>
    <x v="3"/>
    <x v="2"/>
    <x v="2"/>
    <n v="681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"/>
    <x v="4"/>
    <x v="3"/>
    <x v="2"/>
    <n v="0.85317971533620895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"/>
    <x v="5"/>
    <x v="2"/>
    <x v="2"/>
    <n v="679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"/>
    <x v="6"/>
    <x v="3"/>
    <x v="2"/>
    <n v="0.69371433806046501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3"/>
    <x v="0"/>
    <x v="0"/>
    <x v="0"/>
    <n v="667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3"/>
    <x v="1"/>
    <x v="1"/>
    <x v="0"/>
    <n v="659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3"/>
    <x v="2"/>
    <x v="1"/>
    <x v="1"/>
    <n v="659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3"/>
    <x v="3"/>
    <x v="2"/>
    <x v="2"/>
    <n v="663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3"/>
    <x v="4"/>
    <x v="3"/>
    <x v="2"/>
    <n v="0.83986710966508504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3"/>
    <x v="5"/>
    <x v="2"/>
    <x v="2"/>
    <n v="661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3"/>
    <x v="6"/>
    <x v="3"/>
    <x v="2"/>
    <n v="0.67669309573383496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4"/>
    <x v="0"/>
    <x v="0"/>
    <x v="0"/>
    <n v="702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4"/>
    <x v="1"/>
    <x v="1"/>
    <x v="0"/>
    <n v="696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4"/>
    <x v="2"/>
    <x v="1"/>
    <x v="1"/>
    <n v="696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4"/>
    <x v="3"/>
    <x v="2"/>
    <x v="2"/>
    <n v="701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4"/>
    <x v="4"/>
    <x v="3"/>
    <x v="2"/>
    <n v="0.87469053136530295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4"/>
    <x v="5"/>
    <x v="2"/>
    <x v="2"/>
    <n v="698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4"/>
    <x v="6"/>
    <x v="3"/>
    <x v="2"/>
    <n v="0.70766928831208498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5"/>
    <x v="0"/>
    <x v="0"/>
    <x v="0"/>
    <n v="709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5"/>
    <x v="1"/>
    <x v="1"/>
    <x v="0"/>
    <n v="701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5"/>
    <x v="2"/>
    <x v="1"/>
    <x v="1"/>
    <n v="701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5"/>
    <x v="3"/>
    <x v="2"/>
    <x v="2"/>
    <n v="704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5"/>
    <x v="4"/>
    <x v="3"/>
    <x v="2"/>
    <n v="0.874197408656194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5"/>
    <x v="5"/>
    <x v="2"/>
    <x v="2"/>
    <n v="702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5"/>
    <x v="6"/>
    <x v="3"/>
    <x v="2"/>
    <n v="0.69734871834623202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6"/>
    <x v="0"/>
    <x v="0"/>
    <x v="0"/>
    <n v="667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6"/>
    <x v="1"/>
    <x v="1"/>
    <x v="0"/>
    <n v="658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6"/>
    <x v="2"/>
    <x v="1"/>
    <x v="1"/>
    <n v="658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6"/>
    <x v="3"/>
    <x v="2"/>
    <x v="2"/>
    <n v="663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6"/>
    <x v="4"/>
    <x v="3"/>
    <x v="2"/>
    <n v="0.82845301215893496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6"/>
    <x v="5"/>
    <x v="2"/>
    <x v="2"/>
    <n v="660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6"/>
    <x v="6"/>
    <x v="3"/>
    <x v="2"/>
    <n v="0.66029119630026101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7"/>
    <x v="0"/>
    <x v="0"/>
    <x v="0"/>
    <n v="713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7"/>
    <x v="1"/>
    <x v="1"/>
    <x v="0"/>
    <n v="707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7"/>
    <x v="2"/>
    <x v="1"/>
    <x v="1"/>
    <n v="707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7"/>
    <x v="3"/>
    <x v="2"/>
    <x v="2"/>
    <n v="710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7"/>
    <x v="4"/>
    <x v="3"/>
    <x v="2"/>
    <n v="0.88220809388613697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7"/>
    <x v="5"/>
    <x v="2"/>
    <x v="2"/>
    <n v="708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7"/>
    <x v="6"/>
    <x v="3"/>
    <x v="2"/>
    <n v="0.703289885007645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8"/>
    <x v="0"/>
    <x v="0"/>
    <x v="0"/>
    <n v="667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8"/>
    <x v="1"/>
    <x v="1"/>
    <x v="0"/>
    <n v="662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8"/>
    <x v="2"/>
    <x v="1"/>
    <x v="1"/>
    <n v="662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8"/>
    <x v="3"/>
    <x v="2"/>
    <x v="2"/>
    <n v="666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8"/>
    <x v="4"/>
    <x v="3"/>
    <x v="2"/>
    <n v="0.83360755632975403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8"/>
    <x v="5"/>
    <x v="2"/>
    <x v="2"/>
    <n v="664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8"/>
    <x v="6"/>
    <x v="3"/>
    <x v="2"/>
    <n v="0.65163780528303905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9"/>
    <x v="0"/>
    <x v="0"/>
    <x v="0"/>
    <n v="657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9"/>
    <x v="1"/>
    <x v="1"/>
    <x v="0"/>
    <n v="649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9"/>
    <x v="2"/>
    <x v="1"/>
    <x v="1"/>
    <n v="649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9"/>
    <x v="3"/>
    <x v="2"/>
    <x v="2"/>
    <n v="652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9"/>
    <x v="4"/>
    <x v="3"/>
    <x v="2"/>
    <n v="0.81788257588493096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9"/>
    <x v="5"/>
    <x v="2"/>
    <x v="2"/>
    <n v="650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9"/>
    <x v="6"/>
    <x v="3"/>
    <x v="2"/>
    <n v="0.64742434851608399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0"/>
    <x v="0"/>
    <x v="0"/>
    <x v="0"/>
    <n v="675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0"/>
    <x v="1"/>
    <x v="1"/>
    <x v="0"/>
    <n v="670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0"/>
    <x v="2"/>
    <x v="1"/>
    <x v="1"/>
    <n v="670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0"/>
    <x v="3"/>
    <x v="2"/>
    <x v="2"/>
    <n v="674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0"/>
    <x v="4"/>
    <x v="3"/>
    <x v="2"/>
    <n v="0.84151042192898695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0"/>
    <x v="5"/>
    <x v="2"/>
    <x v="2"/>
    <n v="672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0"/>
    <x v="6"/>
    <x v="3"/>
    <x v="2"/>
    <n v="0.67441446210244305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1"/>
    <x v="0"/>
    <x v="0"/>
    <x v="0"/>
    <n v="670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1"/>
    <x v="1"/>
    <x v="1"/>
    <x v="0"/>
    <n v="668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1"/>
    <x v="2"/>
    <x v="1"/>
    <x v="1"/>
    <n v="668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1"/>
    <x v="3"/>
    <x v="2"/>
    <x v="2"/>
    <n v="670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1"/>
    <x v="4"/>
    <x v="3"/>
    <x v="2"/>
    <n v="0.83892969632854997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1"/>
    <x v="5"/>
    <x v="2"/>
    <x v="2"/>
    <n v="669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1"/>
    <x v="6"/>
    <x v="3"/>
    <x v="2"/>
    <n v="0.67987508291311505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2"/>
    <x v="0"/>
    <x v="0"/>
    <x v="0"/>
    <n v="702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2"/>
    <x v="1"/>
    <x v="1"/>
    <x v="0"/>
    <n v="695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2"/>
    <x v="2"/>
    <x v="1"/>
    <x v="1"/>
    <n v="695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2"/>
    <x v="3"/>
    <x v="2"/>
    <x v="2"/>
    <n v="699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2"/>
    <x v="4"/>
    <x v="3"/>
    <x v="2"/>
    <n v="0.87898790834991003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2"/>
    <x v="5"/>
    <x v="2"/>
    <x v="2"/>
    <n v="697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2"/>
    <x v="6"/>
    <x v="3"/>
    <x v="2"/>
    <n v="0.69940031352311405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3"/>
    <x v="0"/>
    <x v="0"/>
    <x v="0"/>
    <n v="651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3"/>
    <x v="1"/>
    <x v="1"/>
    <x v="0"/>
    <n v="646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3"/>
    <x v="2"/>
    <x v="1"/>
    <x v="1"/>
    <n v="646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3"/>
    <x v="3"/>
    <x v="2"/>
    <x v="2"/>
    <n v="650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3"/>
    <x v="4"/>
    <x v="3"/>
    <x v="2"/>
    <n v="0.82024486165129495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3"/>
    <x v="5"/>
    <x v="2"/>
    <x v="2"/>
    <n v="648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3"/>
    <x v="6"/>
    <x v="3"/>
    <x v="2"/>
    <n v="0.63597480289866404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4"/>
    <x v="0"/>
    <x v="0"/>
    <x v="0"/>
    <n v="699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4"/>
    <x v="1"/>
    <x v="1"/>
    <x v="0"/>
    <n v="690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4"/>
    <x v="2"/>
    <x v="1"/>
    <x v="1"/>
    <n v="690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4"/>
    <x v="3"/>
    <x v="2"/>
    <x v="2"/>
    <n v="693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4"/>
    <x v="4"/>
    <x v="3"/>
    <x v="2"/>
    <n v="0.86909862719891795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4"/>
    <x v="5"/>
    <x v="2"/>
    <x v="2"/>
    <n v="691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4"/>
    <x v="6"/>
    <x v="3"/>
    <x v="2"/>
    <n v="0.69131394518790701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5"/>
    <x v="0"/>
    <x v="0"/>
    <x v="0"/>
    <n v="700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5"/>
    <x v="1"/>
    <x v="1"/>
    <x v="0"/>
    <n v="699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5"/>
    <x v="2"/>
    <x v="1"/>
    <x v="1"/>
    <n v="699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5"/>
    <x v="3"/>
    <x v="2"/>
    <x v="2"/>
    <n v="700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5"/>
    <x v="4"/>
    <x v="3"/>
    <x v="2"/>
    <n v="0.87224390502583504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5"/>
    <x v="5"/>
    <x v="2"/>
    <x v="2"/>
    <n v="699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5"/>
    <x v="6"/>
    <x v="3"/>
    <x v="2"/>
    <n v="0.70775121560393095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6"/>
    <x v="0"/>
    <x v="0"/>
    <x v="0"/>
    <n v="706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6"/>
    <x v="1"/>
    <x v="1"/>
    <x v="0"/>
    <n v="705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6"/>
    <x v="2"/>
    <x v="1"/>
    <x v="1"/>
    <n v="705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6"/>
    <x v="3"/>
    <x v="2"/>
    <x v="2"/>
    <n v="706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6"/>
    <x v="4"/>
    <x v="3"/>
    <x v="2"/>
    <n v="0.88479302517467795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6"/>
    <x v="5"/>
    <x v="2"/>
    <x v="2"/>
    <n v="706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6"/>
    <x v="6"/>
    <x v="3"/>
    <x v="2"/>
    <n v="0.70355278047376502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7"/>
    <x v="0"/>
    <x v="0"/>
    <x v="0"/>
    <n v="679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7"/>
    <x v="1"/>
    <x v="1"/>
    <x v="0"/>
    <n v="676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7"/>
    <x v="2"/>
    <x v="1"/>
    <x v="1"/>
    <n v="676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7"/>
    <x v="3"/>
    <x v="2"/>
    <x v="2"/>
    <n v="679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7"/>
    <x v="4"/>
    <x v="3"/>
    <x v="2"/>
    <n v="0.84482762161123504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7"/>
    <x v="5"/>
    <x v="2"/>
    <x v="2"/>
    <n v="678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7"/>
    <x v="6"/>
    <x v="3"/>
    <x v="2"/>
    <n v="0.68006043093939506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8"/>
    <x v="0"/>
    <x v="0"/>
    <x v="0"/>
    <n v="652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8"/>
    <x v="1"/>
    <x v="1"/>
    <x v="0"/>
    <n v="646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8"/>
    <x v="2"/>
    <x v="1"/>
    <x v="1"/>
    <n v="646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8"/>
    <x v="3"/>
    <x v="2"/>
    <x v="2"/>
    <n v="650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8"/>
    <x v="4"/>
    <x v="3"/>
    <x v="2"/>
    <n v="0.81030863554368704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8"/>
    <x v="5"/>
    <x v="2"/>
    <x v="2"/>
    <n v="648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8"/>
    <x v="6"/>
    <x v="3"/>
    <x v="2"/>
    <n v="0.65840518524309799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19"/>
    <x v="0"/>
    <x v="0"/>
    <x v="0"/>
    <n v="692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19"/>
    <x v="1"/>
    <x v="1"/>
    <x v="0"/>
    <n v="690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19"/>
    <x v="2"/>
    <x v="1"/>
    <x v="1"/>
    <n v="690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19"/>
    <x v="3"/>
    <x v="2"/>
    <x v="2"/>
    <n v="692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19"/>
    <x v="4"/>
    <x v="3"/>
    <x v="2"/>
    <n v="0.87232463798078397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19"/>
    <x v="5"/>
    <x v="2"/>
    <x v="2"/>
    <n v="691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19"/>
    <x v="6"/>
    <x v="3"/>
    <x v="2"/>
    <n v="0.66938966764532803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0"/>
    <x v="0"/>
    <x v="0"/>
    <x v="0"/>
    <n v="645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0"/>
    <x v="1"/>
    <x v="1"/>
    <x v="0"/>
    <n v="639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0"/>
    <x v="2"/>
    <x v="1"/>
    <x v="1"/>
    <n v="639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0"/>
    <x v="3"/>
    <x v="2"/>
    <x v="2"/>
    <n v="643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0"/>
    <x v="4"/>
    <x v="3"/>
    <x v="2"/>
    <n v="0.80260861505151904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0"/>
    <x v="5"/>
    <x v="2"/>
    <x v="2"/>
    <n v="641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0"/>
    <x v="6"/>
    <x v="3"/>
    <x v="2"/>
    <n v="0.641007886630513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1"/>
    <x v="0"/>
    <x v="0"/>
    <x v="0"/>
    <n v="680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1"/>
    <x v="1"/>
    <x v="1"/>
    <x v="0"/>
    <n v="678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1"/>
    <x v="2"/>
    <x v="1"/>
    <x v="1"/>
    <n v="678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1"/>
    <x v="3"/>
    <x v="2"/>
    <x v="2"/>
    <n v="680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1"/>
    <x v="4"/>
    <x v="3"/>
    <x v="2"/>
    <n v="0.851975189665935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1"/>
    <x v="5"/>
    <x v="2"/>
    <x v="2"/>
    <n v="678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1"/>
    <x v="6"/>
    <x v="3"/>
    <x v="2"/>
    <n v="0.68393991966147405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2"/>
    <x v="0"/>
    <x v="0"/>
    <x v="0"/>
    <n v="664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2"/>
    <x v="1"/>
    <x v="1"/>
    <x v="0"/>
    <n v="663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2"/>
    <x v="2"/>
    <x v="1"/>
    <x v="1"/>
    <n v="663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2"/>
    <x v="3"/>
    <x v="2"/>
    <x v="2"/>
    <n v="664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2"/>
    <x v="4"/>
    <x v="3"/>
    <x v="2"/>
    <n v="0.82734821790328394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2"/>
    <x v="5"/>
    <x v="2"/>
    <x v="2"/>
    <n v="664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2"/>
    <x v="6"/>
    <x v="3"/>
    <x v="2"/>
    <n v="0.66736804864654198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3"/>
    <x v="0"/>
    <x v="0"/>
    <x v="0"/>
    <n v="721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3"/>
    <x v="1"/>
    <x v="1"/>
    <x v="0"/>
    <n v="717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3"/>
    <x v="2"/>
    <x v="1"/>
    <x v="1"/>
    <n v="717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3"/>
    <x v="3"/>
    <x v="2"/>
    <x v="2"/>
    <n v="720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3"/>
    <x v="4"/>
    <x v="3"/>
    <x v="2"/>
    <n v="0.89294181827783703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3"/>
    <x v="5"/>
    <x v="2"/>
    <x v="2"/>
    <n v="718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3"/>
    <x v="6"/>
    <x v="3"/>
    <x v="2"/>
    <n v="0.72090720879040104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4"/>
    <x v="0"/>
    <x v="0"/>
    <x v="0"/>
    <n v="663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4"/>
    <x v="1"/>
    <x v="1"/>
    <x v="0"/>
    <n v="660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4"/>
    <x v="2"/>
    <x v="1"/>
    <x v="1"/>
    <n v="660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4"/>
    <x v="3"/>
    <x v="2"/>
    <x v="2"/>
    <n v="663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4"/>
    <x v="4"/>
    <x v="3"/>
    <x v="2"/>
    <n v="0.822472904252884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4"/>
    <x v="5"/>
    <x v="2"/>
    <x v="2"/>
    <n v="661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4"/>
    <x v="6"/>
    <x v="3"/>
    <x v="2"/>
    <n v="0.67269418360253397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5"/>
    <x v="0"/>
    <x v="0"/>
    <x v="0"/>
    <n v="703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5"/>
    <x v="1"/>
    <x v="1"/>
    <x v="0"/>
    <n v="699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5"/>
    <x v="2"/>
    <x v="1"/>
    <x v="1"/>
    <n v="699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5"/>
    <x v="3"/>
    <x v="2"/>
    <x v="2"/>
    <n v="703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5"/>
    <x v="4"/>
    <x v="3"/>
    <x v="2"/>
    <n v="0.87741284435682299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5"/>
    <x v="5"/>
    <x v="2"/>
    <x v="2"/>
    <n v="701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5"/>
    <x v="6"/>
    <x v="3"/>
    <x v="2"/>
    <n v="0.71034840314866798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6"/>
    <x v="0"/>
    <x v="0"/>
    <x v="0"/>
    <n v="703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6"/>
    <x v="1"/>
    <x v="1"/>
    <x v="0"/>
    <n v="703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6"/>
    <x v="2"/>
    <x v="1"/>
    <x v="1"/>
    <n v="703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6"/>
    <x v="3"/>
    <x v="2"/>
    <x v="2"/>
    <n v="703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6"/>
    <x v="4"/>
    <x v="3"/>
    <x v="2"/>
    <n v="0.88261789039376104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6"/>
    <x v="5"/>
    <x v="2"/>
    <x v="2"/>
    <n v="703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6"/>
    <x v="6"/>
    <x v="3"/>
    <x v="2"/>
    <n v="0.69859355563276204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7"/>
    <x v="0"/>
    <x v="0"/>
    <x v="0"/>
    <n v="639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7"/>
    <x v="1"/>
    <x v="1"/>
    <x v="0"/>
    <n v="632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7"/>
    <x v="2"/>
    <x v="1"/>
    <x v="1"/>
    <n v="632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7"/>
    <x v="3"/>
    <x v="2"/>
    <x v="2"/>
    <n v="636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7"/>
    <x v="4"/>
    <x v="3"/>
    <x v="2"/>
    <n v="0.79563957753275305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7"/>
    <x v="5"/>
    <x v="2"/>
    <x v="2"/>
    <n v="634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7"/>
    <x v="6"/>
    <x v="3"/>
    <x v="2"/>
    <n v="0.62568527922134098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8"/>
    <x v="0"/>
    <x v="0"/>
    <x v="0"/>
    <n v="686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8"/>
    <x v="1"/>
    <x v="1"/>
    <x v="0"/>
    <n v="683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8"/>
    <x v="2"/>
    <x v="1"/>
    <x v="1"/>
    <n v="683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8"/>
    <x v="3"/>
    <x v="2"/>
    <x v="2"/>
    <n v="686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8"/>
    <x v="4"/>
    <x v="3"/>
    <x v="2"/>
    <n v="0.85298505910226696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8"/>
    <x v="5"/>
    <x v="2"/>
    <x v="2"/>
    <n v="684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8"/>
    <x v="6"/>
    <x v="3"/>
    <x v="2"/>
    <n v="0.67395224122644704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29"/>
    <x v="0"/>
    <x v="0"/>
    <x v="0"/>
    <n v="740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29"/>
    <x v="1"/>
    <x v="1"/>
    <x v="0"/>
    <n v="729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29"/>
    <x v="2"/>
    <x v="1"/>
    <x v="1"/>
    <n v="729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29"/>
    <x v="3"/>
    <x v="2"/>
    <x v="2"/>
    <n v="733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29"/>
    <x v="4"/>
    <x v="3"/>
    <x v="2"/>
    <n v="0.91388224334429202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29"/>
    <x v="5"/>
    <x v="2"/>
    <x v="2"/>
    <n v="731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29"/>
    <x v="6"/>
    <x v="3"/>
    <x v="2"/>
    <n v="0.71873216216834901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  <r>
    <x v="0"/>
    <s v="2025-05-22 01:25:31"/>
    <n v="30"/>
    <x v="0"/>
    <x v="0"/>
    <x v="0"/>
    <n v="682"/>
    <n v="0"/>
    <s v="Unnamed ProjectEntity 1.NumberInNumber InEntity"/>
    <n v="30"/>
    <n v="684.23333333333335"/>
    <n v="24.542269424520363"/>
    <n v="0.95"/>
    <n v="9.1642340130865865"/>
    <n v="639"/>
    <n v="740"/>
  </r>
  <r>
    <x v="0"/>
    <s v="2025-05-22 01:25:31"/>
    <n v="30"/>
    <x v="1"/>
    <x v="1"/>
    <x v="0"/>
    <n v="675"/>
    <n v="0"/>
    <s v="Unnamed ProjectEntity 1.NumberOutNumber OutEntity"/>
    <n v="30"/>
    <n v="679.23333333333335"/>
    <n v="24.567547045158822"/>
    <n v="0.95"/>
    <n v="9.1736728317556295"/>
    <n v="632"/>
    <n v="729"/>
  </r>
  <r>
    <x v="0"/>
    <s v="2025-05-22 01:25:31"/>
    <n v="30"/>
    <x v="2"/>
    <x v="1"/>
    <x v="1"/>
    <n v="675"/>
    <n v="0"/>
    <s v="Unnamed ProjectSystem.NumberOutNumber OutSystem"/>
    <n v="30"/>
    <n v="679.23333333333335"/>
    <n v="24.567547045158822"/>
    <n v="0.95"/>
    <n v="9.1736728317556295"/>
    <n v="632"/>
    <n v="729"/>
  </r>
  <r>
    <x v="0"/>
    <s v="2025-05-22 01:25:31"/>
    <n v="30"/>
    <x v="3"/>
    <x v="2"/>
    <x v="2"/>
    <n v="679"/>
    <n v="0"/>
    <s v="Unnamed ProjectrCajero.NumberSeizedTotal Number SeizedResource"/>
    <n v="30"/>
    <n v="682.33333333333337"/>
    <n v="24.270506201238735"/>
    <n v="0.95"/>
    <n v="9.062755957768065"/>
    <n v="636"/>
    <n v="733"/>
  </r>
  <r>
    <x v="0"/>
    <s v="2025-05-22 01:25:31"/>
    <n v="30"/>
    <x v="4"/>
    <x v="3"/>
    <x v="2"/>
    <n v="0.84529018536164602"/>
    <n v="0"/>
    <s v="Unnamed ProjectrCajero.ScheduledUtilizationScheduled UtilizationResource"/>
    <n v="30"/>
    <n v="0.85304256406630496"/>
    <n v="2.975273171257193E-2"/>
    <n v="0.95"/>
    <n v="1.1109852606791693E-2"/>
    <n v="0.79563957753275305"/>
    <n v="0.91388224334429202"/>
  </r>
  <r>
    <x v="0"/>
    <s v="2025-05-22 01:25:31"/>
    <n v="30"/>
    <x v="5"/>
    <x v="2"/>
    <x v="2"/>
    <n v="677"/>
    <n v="0"/>
    <s v="Unnamed Projectrchef.NumberSeizedTotal Number SeizedResource"/>
    <n v="30"/>
    <n v="680.6"/>
    <n v="24.37296410595857"/>
    <n v="0.95"/>
    <n v="9.1010143681498281"/>
    <n v="634"/>
    <n v="731"/>
  </r>
  <r>
    <x v="0"/>
    <s v="2025-05-22 01:25:31"/>
    <n v="30"/>
    <x v="6"/>
    <x v="3"/>
    <x v="2"/>
    <n v="0.69534461809250703"/>
    <n v="0"/>
    <s v="Unnamed Projectrchef.ScheduledUtilizationScheduled UtilizationResource"/>
    <n v="30"/>
    <n v="0.6819541161040038"/>
    <n v="2.5427627669908321E-2"/>
    <n v="0.95"/>
    <n v="9.4948322151438332E-3"/>
    <n v="0.62568527922134098"/>
    <n v="0.7209072087904010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s v="2025-05-22 01:25:31"/>
    <n v="1"/>
    <x v="0"/>
    <x v="0"/>
    <x v="0"/>
    <n v="214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"/>
    <x v="1"/>
    <x v="0"/>
    <x v="0"/>
    <n v="103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"/>
    <x v="2"/>
    <x v="0"/>
    <x v="0"/>
    <n v="386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"/>
    <x v="0"/>
    <x v="0"/>
    <x v="0"/>
    <n v="194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"/>
    <x v="1"/>
    <x v="0"/>
    <x v="0"/>
    <n v="116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"/>
    <x v="2"/>
    <x v="0"/>
    <x v="0"/>
    <n v="369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3"/>
    <x v="0"/>
    <x v="0"/>
    <x v="0"/>
    <n v="185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3"/>
    <x v="1"/>
    <x v="0"/>
    <x v="0"/>
    <n v="95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3"/>
    <x v="2"/>
    <x v="0"/>
    <x v="0"/>
    <n v="379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4"/>
    <x v="0"/>
    <x v="0"/>
    <x v="0"/>
    <n v="210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4"/>
    <x v="1"/>
    <x v="0"/>
    <x v="0"/>
    <n v="96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4"/>
    <x v="2"/>
    <x v="0"/>
    <x v="0"/>
    <n v="390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5"/>
    <x v="0"/>
    <x v="0"/>
    <x v="0"/>
    <n v="219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5"/>
    <x v="1"/>
    <x v="0"/>
    <x v="0"/>
    <n v="103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5"/>
    <x v="2"/>
    <x v="0"/>
    <x v="0"/>
    <n v="379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6"/>
    <x v="0"/>
    <x v="0"/>
    <x v="0"/>
    <n v="202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6"/>
    <x v="1"/>
    <x v="0"/>
    <x v="0"/>
    <n v="103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6"/>
    <x v="2"/>
    <x v="0"/>
    <x v="0"/>
    <n v="353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7"/>
    <x v="0"/>
    <x v="0"/>
    <x v="0"/>
    <n v="231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7"/>
    <x v="1"/>
    <x v="0"/>
    <x v="0"/>
    <n v="103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7"/>
    <x v="2"/>
    <x v="0"/>
    <x v="0"/>
    <n v="373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8"/>
    <x v="0"/>
    <x v="0"/>
    <x v="0"/>
    <n v="223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8"/>
    <x v="1"/>
    <x v="0"/>
    <x v="0"/>
    <n v="94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8"/>
    <x v="2"/>
    <x v="0"/>
    <x v="0"/>
    <n v="345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9"/>
    <x v="0"/>
    <x v="0"/>
    <x v="0"/>
    <n v="215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9"/>
    <x v="1"/>
    <x v="0"/>
    <x v="0"/>
    <n v="78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9"/>
    <x v="2"/>
    <x v="0"/>
    <x v="0"/>
    <n v="356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0"/>
    <x v="0"/>
    <x v="0"/>
    <x v="0"/>
    <n v="202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0"/>
    <x v="1"/>
    <x v="0"/>
    <x v="0"/>
    <n v="107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0"/>
    <x v="2"/>
    <x v="0"/>
    <x v="0"/>
    <n v="361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1"/>
    <x v="0"/>
    <x v="0"/>
    <x v="0"/>
    <n v="192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1"/>
    <x v="1"/>
    <x v="0"/>
    <x v="0"/>
    <n v="105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1"/>
    <x v="2"/>
    <x v="0"/>
    <x v="0"/>
    <n v="371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2"/>
    <x v="0"/>
    <x v="0"/>
    <x v="0"/>
    <n v="213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2"/>
    <x v="1"/>
    <x v="0"/>
    <x v="0"/>
    <n v="110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2"/>
    <x v="2"/>
    <x v="0"/>
    <x v="0"/>
    <n v="372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3"/>
    <x v="0"/>
    <x v="0"/>
    <x v="0"/>
    <n v="221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3"/>
    <x v="1"/>
    <x v="0"/>
    <x v="0"/>
    <n v="88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3"/>
    <x v="2"/>
    <x v="0"/>
    <x v="0"/>
    <n v="337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4"/>
    <x v="0"/>
    <x v="0"/>
    <x v="0"/>
    <n v="204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4"/>
    <x v="1"/>
    <x v="0"/>
    <x v="0"/>
    <n v="109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4"/>
    <x v="2"/>
    <x v="0"/>
    <x v="0"/>
    <n v="377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5"/>
    <x v="0"/>
    <x v="0"/>
    <x v="0"/>
    <n v="204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5"/>
    <x v="1"/>
    <x v="0"/>
    <x v="0"/>
    <n v="107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5"/>
    <x v="2"/>
    <x v="0"/>
    <x v="0"/>
    <n v="388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6"/>
    <x v="0"/>
    <x v="0"/>
    <x v="0"/>
    <n v="224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6"/>
    <x v="1"/>
    <x v="0"/>
    <x v="0"/>
    <n v="105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6"/>
    <x v="2"/>
    <x v="0"/>
    <x v="0"/>
    <n v="376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7"/>
    <x v="0"/>
    <x v="0"/>
    <x v="0"/>
    <n v="207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7"/>
    <x v="1"/>
    <x v="0"/>
    <x v="0"/>
    <n v="94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7"/>
    <x v="2"/>
    <x v="0"/>
    <x v="0"/>
    <n v="375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8"/>
    <x v="0"/>
    <x v="0"/>
    <x v="0"/>
    <n v="185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8"/>
    <x v="1"/>
    <x v="0"/>
    <x v="0"/>
    <n v="97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8"/>
    <x v="2"/>
    <x v="0"/>
    <x v="0"/>
    <n v="364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19"/>
    <x v="0"/>
    <x v="0"/>
    <x v="0"/>
    <n v="251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19"/>
    <x v="1"/>
    <x v="0"/>
    <x v="0"/>
    <n v="85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19"/>
    <x v="2"/>
    <x v="0"/>
    <x v="0"/>
    <n v="354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0"/>
    <x v="0"/>
    <x v="0"/>
    <x v="0"/>
    <n v="207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0"/>
    <x v="1"/>
    <x v="0"/>
    <x v="0"/>
    <n v="91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0"/>
    <x v="2"/>
    <x v="0"/>
    <x v="0"/>
    <n v="341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1"/>
    <x v="0"/>
    <x v="0"/>
    <x v="0"/>
    <n v="203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1"/>
    <x v="1"/>
    <x v="0"/>
    <x v="0"/>
    <n v="104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1"/>
    <x v="2"/>
    <x v="0"/>
    <x v="0"/>
    <n v="371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2"/>
    <x v="0"/>
    <x v="0"/>
    <x v="0"/>
    <n v="197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2"/>
    <x v="1"/>
    <x v="0"/>
    <x v="0"/>
    <n v="97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2"/>
    <x v="2"/>
    <x v="0"/>
    <x v="0"/>
    <n v="369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3"/>
    <x v="0"/>
    <x v="0"/>
    <x v="0"/>
    <n v="212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3"/>
    <x v="1"/>
    <x v="0"/>
    <x v="0"/>
    <n v="116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3"/>
    <x v="2"/>
    <x v="0"/>
    <x v="0"/>
    <n v="389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4"/>
    <x v="0"/>
    <x v="0"/>
    <x v="0"/>
    <n v="186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4"/>
    <x v="1"/>
    <x v="0"/>
    <x v="0"/>
    <n v="96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4"/>
    <x v="2"/>
    <x v="0"/>
    <x v="0"/>
    <n v="378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5"/>
    <x v="0"/>
    <x v="0"/>
    <x v="0"/>
    <n v="196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5"/>
    <x v="1"/>
    <x v="0"/>
    <x v="0"/>
    <n v="111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5"/>
    <x v="2"/>
    <x v="0"/>
    <x v="0"/>
    <n v="392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6"/>
    <x v="0"/>
    <x v="0"/>
    <x v="0"/>
    <n v="228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6"/>
    <x v="1"/>
    <x v="0"/>
    <x v="0"/>
    <n v="101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6"/>
    <x v="2"/>
    <x v="0"/>
    <x v="0"/>
    <n v="374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7"/>
    <x v="0"/>
    <x v="0"/>
    <x v="0"/>
    <n v="202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7"/>
    <x v="1"/>
    <x v="0"/>
    <x v="0"/>
    <n v="105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7"/>
    <x v="2"/>
    <x v="0"/>
    <x v="0"/>
    <n v="325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8"/>
    <x v="0"/>
    <x v="0"/>
    <x v="0"/>
    <n v="217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8"/>
    <x v="1"/>
    <x v="0"/>
    <x v="0"/>
    <n v="100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8"/>
    <x v="2"/>
    <x v="0"/>
    <x v="0"/>
    <n v="366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29"/>
    <x v="0"/>
    <x v="0"/>
    <x v="0"/>
    <n v="246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29"/>
    <x v="1"/>
    <x v="0"/>
    <x v="0"/>
    <n v="111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29"/>
    <x v="2"/>
    <x v="0"/>
    <x v="0"/>
    <n v="372"/>
    <s v="Unnamed ProjectContadortipo3CountUser Specified"/>
    <n v="30"/>
    <n v="369"/>
    <n v="16.552945357246848"/>
    <n v="0.95"/>
    <n v="6.1809713778174729"/>
    <n v="325"/>
    <n v="392"/>
  </r>
  <r>
    <x v="0"/>
    <s v="2025-05-22 01:25:31"/>
    <n v="30"/>
    <x v="0"/>
    <x v="0"/>
    <x v="0"/>
    <n v="193"/>
    <s v="Unnamed ProjectContadortipo1CountUser Specified"/>
    <n v="30"/>
    <n v="209.43333333333334"/>
    <n v="16.39319314865763"/>
    <n v="0.95"/>
    <n v="6.121318922769599"/>
    <n v="185"/>
    <n v="251"/>
  </r>
  <r>
    <x v="0"/>
    <s v="2025-05-22 01:25:31"/>
    <n v="30"/>
    <x v="1"/>
    <x v="0"/>
    <x v="0"/>
    <n v="94"/>
    <s v="Unnamed ProjectContadortipo2CountUser Specified"/>
    <n v="30"/>
    <n v="100.8"/>
    <n v="8.8255116096696504"/>
    <n v="0.95"/>
    <n v="3.2955001950805047"/>
    <n v="78"/>
    <n v="116"/>
  </r>
  <r>
    <x v="0"/>
    <s v="2025-05-22 01:25:31"/>
    <n v="30"/>
    <x v="2"/>
    <x v="0"/>
    <x v="0"/>
    <n v="388"/>
    <s v="Unnamed ProjectContadortipo3CountUser Specified"/>
    <n v="30"/>
    <n v="369"/>
    <n v="16.552945357246848"/>
    <n v="0.95"/>
    <n v="6.1809713778174729"/>
    <n v="325"/>
    <n v="39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x v="0"/>
    <s v="2025-05-22 01:25:31"/>
    <n v="1"/>
    <x v="0"/>
    <x v="0"/>
    <x v="0"/>
    <n v="5.6668939841009598"/>
    <n v="3E+20"/>
    <n v="0"/>
    <n v="16"/>
    <n v="7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"/>
    <x v="1"/>
    <x v="1"/>
    <x v="1"/>
    <n v="8.04970557251872E-2"/>
    <n v="2.7531203743740702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"/>
    <x v="2"/>
    <x v="1"/>
    <x v="1"/>
    <n v="2.3852160346199902"/>
    <n v="3E+20"/>
    <n v="0"/>
    <n v="12"/>
    <n v="3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"/>
    <x v="3"/>
    <x v="2"/>
    <x v="2"/>
    <n v="0.888747032669718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"/>
    <x v="3"/>
    <x v="3"/>
    <x v="2"/>
    <n v="1.77749406533944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"/>
    <x v="4"/>
    <x v="2"/>
    <x v="2"/>
    <n v="0.71184341420816899"/>
    <n v="4.5182103174451302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"/>
    <x v="4"/>
    <x v="3"/>
    <x v="2"/>
    <n v="1.42368682841634"/>
    <n v="9.0364206348902507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"/>
    <x v="0"/>
    <x v="0"/>
    <x v="0"/>
    <n v="4.9364757486995403"/>
    <n v="0.64744364985270797"/>
    <n v="0"/>
    <n v="13"/>
    <n v="4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"/>
    <x v="1"/>
    <x v="1"/>
    <x v="1"/>
    <n v="7.5098146979247896E-2"/>
    <n v="2.3418540396527601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"/>
    <x v="2"/>
    <x v="1"/>
    <x v="1"/>
    <n v="1.7675894949269499"/>
    <n v="0.49740442626860898"/>
    <n v="0"/>
    <n v="8"/>
    <n v="2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"/>
    <x v="3"/>
    <x v="2"/>
    <x v="2"/>
    <n v="0.85317971533620895"/>
    <n v="4.6360159137780403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"/>
    <x v="3"/>
    <x v="3"/>
    <x v="2"/>
    <n v="1.7063594306724199"/>
    <n v="9.2720318275560695E-2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"/>
    <x v="4"/>
    <x v="2"/>
    <x v="2"/>
    <n v="0.69371433806046501"/>
    <n v="3.9199142602936297E-2"/>
    <n v="0"/>
    <n v="1"/>
    <n v="0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"/>
    <x v="4"/>
    <x v="3"/>
    <x v="2"/>
    <n v="1.38742867612093"/>
    <n v="7.8398285205872595E-2"/>
    <n v="0"/>
    <n v="2"/>
    <n v="0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3"/>
    <x v="0"/>
    <x v="0"/>
    <x v="0"/>
    <n v="5.3227818637061199"/>
    <n v="3E+20"/>
    <n v="0"/>
    <n v="19"/>
    <n v="8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3"/>
    <x v="1"/>
    <x v="1"/>
    <x v="1"/>
    <n v="5.9283188709429301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3"/>
    <x v="2"/>
    <x v="1"/>
    <x v="1"/>
    <n v="2.2303782641988401"/>
    <n v="3E+20"/>
    <n v="0"/>
    <n v="15"/>
    <n v="4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3"/>
    <x v="3"/>
    <x v="2"/>
    <x v="2"/>
    <n v="0.83986710966508504"/>
    <n v="5.5175101427227799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3"/>
    <x v="3"/>
    <x v="3"/>
    <x v="2"/>
    <n v="1.6797342193301701"/>
    <n v="0.110350202854456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3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3"/>
    <x v="4"/>
    <x v="2"/>
    <x v="2"/>
    <n v="0.67669309573383496"/>
    <n v="4.6903410409253103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3"/>
    <x v="4"/>
    <x v="3"/>
    <x v="2"/>
    <n v="1.3533861914676699"/>
    <n v="9.3806820818506303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3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4"/>
    <x v="0"/>
    <x v="0"/>
    <x v="0"/>
    <n v="5.6756227958373504"/>
    <n v="3E+20"/>
    <n v="0"/>
    <n v="19"/>
    <n v="6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4"/>
    <x v="1"/>
    <x v="1"/>
    <x v="1"/>
    <n v="6.7775794492793195E-2"/>
    <n v="1.77784891708863E-2"/>
    <n v="0"/>
    <n v="2"/>
    <n v="1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4"/>
    <x v="2"/>
    <x v="1"/>
    <x v="1"/>
    <n v="2.4431273619897902"/>
    <n v="3E+20"/>
    <n v="0"/>
    <n v="15"/>
    <n v="1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4"/>
    <x v="3"/>
    <x v="2"/>
    <x v="2"/>
    <n v="0.87469053136530295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4"/>
    <x v="3"/>
    <x v="3"/>
    <x v="2"/>
    <n v="1.7493810627306099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4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4"/>
    <x v="4"/>
    <x v="2"/>
    <x v="2"/>
    <n v="0.70766928831208498"/>
    <n v="4.17915388881702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4"/>
    <x v="4"/>
    <x v="3"/>
    <x v="2"/>
    <n v="1.41533857662417"/>
    <n v="8.3583077776340498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4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5"/>
    <x v="0"/>
    <x v="0"/>
    <x v="0"/>
    <n v="5.3828242122540502"/>
    <n v="3E+20"/>
    <n v="0"/>
    <n v="14"/>
    <n v="8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5"/>
    <x v="1"/>
    <x v="1"/>
    <x v="1"/>
    <n v="7.5884686336502999E-2"/>
    <n v="2.38249728213955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5"/>
    <x v="2"/>
    <x v="1"/>
    <x v="1"/>
    <n v="2.1638472719126902"/>
    <n v="3E+20"/>
    <n v="0"/>
    <n v="12"/>
    <n v="5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5"/>
    <x v="3"/>
    <x v="2"/>
    <x v="2"/>
    <n v="0.874197408656194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5"/>
    <x v="3"/>
    <x v="3"/>
    <x v="2"/>
    <n v="1.74839481731239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5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5"/>
    <x v="4"/>
    <x v="2"/>
    <x v="2"/>
    <n v="0.69734871834623202"/>
    <n v="4.0564063340993002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5"/>
    <x v="4"/>
    <x v="3"/>
    <x v="2"/>
    <n v="1.39469743669246"/>
    <n v="8.1128126681985893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5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6"/>
    <x v="0"/>
    <x v="0"/>
    <x v="0"/>
    <n v="4.7267364792017803"/>
    <n v="3E+20"/>
    <n v="0"/>
    <n v="19"/>
    <n v="9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6"/>
    <x v="1"/>
    <x v="1"/>
    <x v="1"/>
    <n v="5.42113648590015E-2"/>
    <n v="2E+20"/>
    <n v="0"/>
    <n v="2"/>
    <n v="1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6"/>
    <x v="2"/>
    <x v="1"/>
    <x v="1"/>
    <n v="1.69503669742439"/>
    <n v="3E+20"/>
    <n v="0"/>
    <n v="15"/>
    <n v="4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6"/>
    <x v="3"/>
    <x v="2"/>
    <x v="2"/>
    <n v="0.82845301215893496"/>
    <n v="5.2045113358273699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6"/>
    <x v="3"/>
    <x v="3"/>
    <x v="2"/>
    <n v="1.6569060243178699"/>
    <n v="0.104090226716547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6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6"/>
    <x v="4"/>
    <x v="2"/>
    <x v="2"/>
    <n v="0.66029119630026101"/>
    <n v="3E+20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6"/>
    <x v="4"/>
    <x v="3"/>
    <x v="2"/>
    <n v="1.32058239260052"/>
    <n v="3E+20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6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7"/>
    <x v="0"/>
    <x v="0"/>
    <x v="0"/>
    <n v="5.6217790697070704"/>
    <n v="3E+20"/>
    <n v="0"/>
    <n v="15"/>
    <n v="6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7"/>
    <x v="1"/>
    <x v="1"/>
    <x v="1"/>
    <n v="6.6345251678186598E-2"/>
    <n v="1.78341431260024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7"/>
    <x v="2"/>
    <x v="1"/>
    <x v="1"/>
    <n v="2.3844378602413299"/>
    <n v="3E+20"/>
    <n v="0"/>
    <n v="12"/>
    <n v="3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7"/>
    <x v="3"/>
    <x v="2"/>
    <x v="2"/>
    <n v="0.88220809388613697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7"/>
    <x v="3"/>
    <x v="3"/>
    <x v="2"/>
    <n v="1.7644161877722699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7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7"/>
    <x v="4"/>
    <x v="2"/>
    <x v="2"/>
    <n v="0.703289885007645"/>
    <n v="3.7105789424683497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7"/>
    <x v="4"/>
    <x v="3"/>
    <x v="2"/>
    <n v="1.40657977001529"/>
    <n v="7.4211578849367105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7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8"/>
    <x v="0"/>
    <x v="0"/>
    <x v="0"/>
    <n v="4.8965619089783301"/>
    <n v="0.92819137056908796"/>
    <n v="0"/>
    <n v="15"/>
    <n v="5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8"/>
    <x v="1"/>
    <x v="1"/>
    <x v="1"/>
    <n v="5.9737500762751097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8"/>
    <x v="2"/>
    <x v="1"/>
    <x v="1"/>
    <n v="1.8663336849899901"/>
    <n v="0.75314608942470496"/>
    <n v="0"/>
    <n v="11"/>
    <n v="1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8"/>
    <x v="3"/>
    <x v="2"/>
    <x v="2"/>
    <n v="0.83360755632975403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8"/>
    <x v="3"/>
    <x v="3"/>
    <x v="2"/>
    <n v="1.6672151126595101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8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8"/>
    <x v="4"/>
    <x v="2"/>
    <x v="2"/>
    <n v="0.65163780528303905"/>
    <n v="3E+20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8"/>
    <x v="4"/>
    <x v="3"/>
    <x v="2"/>
    <n v="1.3032756105660801"/>
    <n v="3E+20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8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9"/>
    <x v="0"/>
    <x v="0"/>
    <x v="0"/>
    <n v="4.2400177466907403"/>
    <n v="3E+20"/>
    <n v="0"/>
    <n v="12"/>
    <n v="8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9"/>
    <x v="1"/>
    <x v="1"/>
    <x v="1"/>
    <n v="4.2893123096714503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9"/>
    <x v="2"/>
    <x v="1"/>
    <x v="1"/>
    <n v="1.2665107747919899"/>
    <n v="3E+20"/>
    <n v="0"/>
    <n v="9"/>
    <n v="5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9"/>
    <x v="3"/>
    <x v="2"/>
    <x v="2"/>
    <n v="0.81788257588493096"/>
    <n v="3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9"/>
    <x v="3"/>
    <x v="3"/>
    <x v="2"/>
    <n v="1.6357651517698599"/>
    <n v="3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9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9"/>
    <x v="4"/>
    <x v="2"/>
    <x v="2"/>
    <n v="0.64742434851608399"/>
    <n v="3.8351488430835301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9"/>
    <x v="4"/>
    <x v="3"/>
    <x v="2"/>
    <n v="1.29484869703217"/>
    <n v="7.6702976861670699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9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0"/>
    <x v="0"/>
    <x v="0"/>
    <x v="0"/>
    <n v="4.3581932828862202"/>
    <n v="0.52807643027737305"/>
    <n v="0"/>
    <n v="12"/>
    <n v="5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0"/>
    <x v="1"/>
    <x v="1"/>
    <x v="1"/>
    <n v="6.4690020291511205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0"/>
    <x v="2"/>
    <x v="1"/>
    <x v="1"/>
    <n v="1.2616534945318501"/>
    <n v="0.41878716839972902"/>
    <n v="0"/>
    <n v="8"/>
    <n v="1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0"/>
    <x v="3"/>
    <x v="2"/>
    <x v="2"/>
    <n v="0.84151042192898695"/>
    <n v="4.0450976675783297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0"/>
    <x v="3"/>
    <x v="3"/>
    <x v="2"/>
    <n v="1.6830208438579699"/>
    <n v="8.0901953351566497E-2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0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0"/>
    <x v="4"/>
    <x v="2"/>
    <x v="2"/>
    <n v="0.67441446210244305"/>
    <n v="3.4032269898309798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0"/>
    <x v="4"/>
    <x v="3"/>
    <x v="2"/>
    <n v="1.3488289242048901"/>
    <n v="6.8064539796619597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0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1"/>
    <x v="0"/>
    <x v="0"/>
    <x v="0"/>
    <n v="5.7720503892770196"/>
    <n v="3E+20"/>
    <n v="0"/>
    <n v="21"/>
    <n v="2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1"/>
    <x v="1"/>
    <x v="1"/>
    <x v="1"/>
    <n v="6.7501827890272204E-2"/>
    <n v="1.9938658883248299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1"/>
    <x v="2"/>
    <x v="1"/>
    <x v="1"/>
    <n v="2.6669390029034199"/>
    <n v="3E+20"/>
    <n v="0"/>
    <n v="18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1"/>
    <x v="3"/>
    <x v="2"/>
    <x v="2"/>
    <n v="0.83892969632854997"/>
    <n v="2E+20"/>
    <n v="0"/>
    <n v="1"/>
    <n v="0.5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1"/>
    <x v="3"/>
    <x v="3"/>
    <x v="2"/>
    <n v="1.6778593926570999"/>
    <n v="2E+20"/>
    <n v="0"/>
    <n v="2"/>
    <n v="1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1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1"/>
    <x v="4"/>
    <x v="2"/>
    <x v="2"/>
    <n v="0.67987508291311505"/>
    <n v="4.5954439960372399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1"/>
    <x v="4"/>
    <x v="3"/>
    <x v="2"/>
    <n v="1.3597501658262301"/>
    <n v="9.1908879920744799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1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2"/>
    <x v="0"/>
    <x v="0"/>
    <x v="0"/>
    <n v="6.2453176751617496"/>
    <n v="3E+20"/>
    <n v="0"/>
    <n v="17"/>
    <n v="7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2"/>
    <x v="1"/>
    <x v="1"/>
    <x v="1"/>
    <n v="6.5827157043961707E-2"/>
    <n v="2.4756591673987999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2"/>
    <x v="2"/>
    <x v="1"/>
    <x v="1"/>
    <n v="3.0227140743717502"/>
    <n v="3E+20"/>
    <n v="0"/>
    <n v="14"/>
    <n v="3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2"/>
    <x v="3"/>
    <x v="2"/>
    <x v="2"/>
    <n v="0.87898790834991003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2"/>
    <x v="3"/>
    <x v="3"/>
    <x v="2"/>
    <n v="1.7579758166998201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2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2"/>
    <x v="4"/>
    <x v="2"/>
    <x v="2"/>
    <n v="0.69940031352311405"/>
    <n v="4.8828446879285198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2"/>
    <x v="4"/>
    <x v="3"/>
    <x v="2"/>
    <n v="1.3988006270462301"/>
    <n v="9.7656893758570396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2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3"/>
    <x v="0"/>
    <x v="0"/>
    <x v="0"/>
    <n v="4.1194471364998897"/>
    <n v="3E+20"/>
    <n v="0"/>
    <n v="13"/>
    <n v="5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3"/>
    <x v="1"/>
    <x v="1"/>
    <x v="1"/>
    <n v="4.6530606207242697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3"/>
    <x v="2"/>
    <x v="1"/>
    <x v="1"/>
    <n v="1.16047720119272"/>
    <n v="3E+20"/>
    <n v="0"/>
    <n v="10"/>
    <n v="1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3"/>
    <x v="3"/>
    <x v="2"/>
    <x v="2"/>
    <n v="0.82024486165129495"/>
    <n v="4.4465295968465102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3"/>
    <x v="3"/>
    <x v="3"/>
    <x v="2"/>
    <n v="1.6404897233025899"/>
    <n v="8.8930591936930106E-2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3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3"/>
    <x v="4"/>
    <x v="2"/>
    <x v="2"/>
    <n v="0.63597480289866404"/>
    <n v="3.0805264068221299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3"/>
    <x v="4"/>
    <x v="3"/>
    <x v="2"/>
    <n v="1.2719496057973301"/>
    <n v="6.1610528136442598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3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4"/>
    <x v="0"/>
    <x v="0"/>
    <x v="0"/>
    <n v="5.72733280104136"/>
    <n v="0.91109628734540804"/>
    <n v="0"/>
    <n v="15"/>
    <n v="9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4"/>
    <x v="1"/>
    <x v="1"/>
    <x v="1"/>
    <n v="6.1573216807679999E-2"/>
    <n v="1.60552048742496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4"/>
    <x v="2"/>
    <x v="1"/>
    <x v="1"/>
    <n v="2.5449344394600399"/>
    <n v="0.78315592690547298"/>
    <n v="0"/>
    <n v="12"/>
    <n v="6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4"/>
    <x v="3"/>
    <x v="2"/>
    <x v="2"/>
    <n v="0.86909862719891795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4"/>
    <x v="3"/>
    <x v="3"/>
    <x v="2"/>
    <n v="1.7381972543978399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4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4"/>
    <x v="4"/>
    <x v="2"/>
    <x v="2"/>
    <n v="0.69131394518790701"/>
    <n v="3.6870220688271102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4"/>
    <x v="4"/>
    <x v="3"/>
    <x v="2"/>
    <n v="1.38262789037581"/>
    <n v="7.3740441376542204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4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5"/>
    <x v="0"/>
    <x v="0"/>
    <x v="0"/>
    <n v="5.6326553084546402"/>
    <n v="3E+20"/>
    <n v="0"/>
    <n v="14"/>
    <n v="1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5"/>
    <x v="1"/>
    <x v="1"/>
    <x v="1"/>
    <n v="8.0790423084047505E-2"/>
    <n v="1.8519295328579599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5"/>
    <x v="2"/>
    <x v="1"/>
    <x v="1"/>
    <n v="2.3918746441110601"/>
    <n v="3E+20"/>
    <n v="0"/>
    <n v="11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5"/>
    <x v="3"/>
    <x v="2"/>
    <x v="2"/>
    <n v="0.87224390502583504"/>
    <n v="2E+20"/>
    <n v="0"/>
    <n v="1"/>
    <n v="0.5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5"/>
    <x v="3"/>
    <x v="3"/>
    <x v="2"/>
    <n v="1.7444878100516701"/>
    <n v="2E+20"/>
    <n v="0"/>
    <n v="2"/>
    <n v="1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5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5"/>
    <x v="4"/>
    <x v="2"/>
    <x v="2"/>
    <n v="0.70775121560393095"/>
    <n v="3E+20"/>
    <n v="0"/>
    <n v="1"/>
    <n v="0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5"/>
    <x v="4"/>
    <x v="3"/>
    <x v="2"/>
    <n v="1.4155024312078599"/>
    <n v="3E+20"/>
    <n v="0"/>
    <n v="2"/>
    <n v="0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5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6"/>
    <x v="0"/>
    <x v="0"/>
    <x v="0"/>
    <n v="6.3858608022515302"/>
    <n v="3E+20"/>
    <n v="0"/>
    <n v="22"/>
    <n v="1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6"/>
    <x v="1"/>
    <x v="1"/>
    <x v="1"/>
    <n v="6.7071383900942194E-2"/>
    <n v="2.1438203521627602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6"/>
    <x v="2"/>
    <x v="1"/>
    <x v="1"/>
    <n v="3.1420978070536898"/>
    <n v="3E+20"/>
    <n v="0"/>
    <n v="17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6"/>
    <x v="3"/>
    <x v="2"/>
    <x v="2"/>
    <n v="0.88479302517467795"/>
    <n v="2E+20"/>
    <n v="0"/>
    <n v="1"/>
    <n v="0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6"/>
    <x v="3"/>
    <x v="3"/>
    <x v="2"/>
    <n v="1.7695860503493599"/>
    <n v="2E+20"/>
    <n v="0"/>
    <n v="2"/>
    <n v="0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6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6"/>
    <x v="4"/>
    <x v="2"/>
    <x v="2"/>
    <n v="0.70355278047376502"/>
    <n v="3E+20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6"/>
    <x v="4"/>
    <x v="3"/>
    <x v="2"/>
    <n v="1.40710556094753"/>
    <n v="3E+20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6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7"/>
    <x v="0"/>
    <x v="0"/>
    <x v="0"/>
    <n v="6.0287004483482498"/>
    <n v="3E+20"/>
    <n v="0"/>
    <n v="19"/>
    <n v="3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7"/>
    <x v="1"/>
    <x v="1"/>
    <x v="1"/>
    <n v="6.7438963919733197E-2"/>
    <n v="2.2506065594558599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7"/>
    <x v="2"/>
    <x v="1"/>
    <x v="1"/>
    <n v="2.9114853793272601"/>
    <n v="3E+20"/>
    <n v="0"/>
    <n v="15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7"/>
    <x v="3"/>
    <x v="2"/>
    <x v="2"/>
    <n v="0.84482762161123504"/>
    <n v="2E+20"/>
    <n v="0"/>
    <n v="1"/>
    <n v="0.5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7"/>
    <x v="3"/>
    <x v="3"/>
    <x v="2"/>
    <n v="1.6896552432224701"/>
    <n v="2E+20"/>
    <n v="0"/>
    <n v="2"/>
    <n v="1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7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7"/>
    <x v="4"/>
    <x v="2"/>
    <x v="2"/>
    <n v="0.68006043093939506"/>
    <n v="4.4850620944933799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7"/>
    <x v="4"/>
    <x v="3"/>
    <x v="2"/>
    <n v="1.3601208618787901"/>
    <n v="8.97012418898675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7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8"/>
    <x v="0"/>
    <x v="0"/>
    <x v="0"/>
    <n v="4.4381496208951603"/>
    <n v="3E+20"/>
    <n v="0"/>
    <n v="14"/>
    <n v="6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8"/>
    <x v="1"/>
    <x v="1"/>
    <x v="1"/>
    <n v="6.13937997166637E-2"/>
    <n v="1.8213577399079101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8"/>
    <x v="2"/>
    <x v="1"/>
    <x v="1"/>
    <n v="1.43932817960493"/>
    <n v="3E+20"/>
    <n v="0"/>
    <n v="10"/>
    <n v="2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8"/>
    <x v="3"/>
    <x v="2"/>
    <x v="2"/>
    <n v="0.81030863554368704"/>
    <n v="5.7580975718885902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8"/>
    <x v="3"/>
    <x v="3"/>
    <x v="2"/>
    <n v="1.6206172710873701"/>
    <n v="0.115161951437772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8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8"/>
    <x v="4"/>
    <x v="2"/>
    <x v="2"/>
    <n v="0.65840518524309799"/>
    <n v="5.4134171046132003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8"/>
    <x v="4"/>
    <x v="3"/>
    <x v="2"/>
    <n v="1.3168103704862"/>
    <n v="0.10826834209226401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8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19"/>
    <x v="0"/>
    <x v="0"/>
    <x v="0"/>
    <n v="5.0871638693569201"/>
    <n v="3E+20"/>
    <n v="0"/>
    <n v="15"/>
    <n v="2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19"/>
    <x v="1"/>
    <x v="1"/>
    <x v="1"/>
    <n v="4.9751822390849097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19"/>
    <x v="2"/>
    <x v="1"/>
    <x v="1"/>
    <n v="1.9539834357138399"/>
    <n v="3E+20"/>
    <n v="0"/>
    <n v="12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19"/>
    <x v="3"/>
    <x v="2"/>
    <x v="2"/>
    <n v="0.87232463798078397"/>
    <n v="3.87259457663503E-2"/>
    <n v="0"/>
    <n v="1"/>
    <n v="0.5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19"/>
    <x v="3"/>
    <x v="3"/>
    <x v="2"/>
    <n v="1.7446492759615699"/>
    <n v="7.7451891532700601E-2"/>
    <n v="0"/>
    <n v="2"/>
    <n v="1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19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19"/>
    <x v="4"/>
    <x v="2"/>
    <x v="2"/>
    <n v="0.66938966764532803"/>
    <n v="3.4034728276987801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19"/>
    <x v="4"/>
    <x v="3"/>
    <x v="2"/>
    <n v="1.3387793352906601"/>
    <n v="6.8069456553975699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19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0"/>
    <x v="0"/>
    <x v="0"/>
    <x v="0"/>
    <n v="4.8237719813216602"/>
    <n v="3E+20"/>
    <n v="0"/>
    <n v="16"/>
    <n v="6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0"/>
    <x v="1"/>
    <x v="1"/>
    <x v="1"/>
    <n v="4.93476795191745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0"/>
    <x v="2"/>
    <x v="1"/>
    <x v="1"/>
    <n v="1.88719129843842"/>
    <n v="3E+20"/>
    <n v="0"/>
    <n v="12"/>
    <n v="2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0"/>
    <x v="3"/>
    <x v="2"/>
    <x v="2"/>
    <n v="0.80260861505151904"/>
    <n v="6.3721126592876307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0"/>
    <x v="3"/>
    <x v="3"/>
    <x v="2"/>
    <n v="1.6052172301030401"/>
    <n v="0.127442253185753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0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0"/>
    <x v="4"/>
    <x v="2"/>
    <x v="2"/>
    <n v="0.641007886630513"/>
    <n v="5.6031453770688203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0"/>
    <x v="4"/>
    <x v="3"/>
    <x v="2"/>
    <n v="1.28201577326103"/>
    <n v="0.112062907541376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0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1"/>
    <x v="0"/>
    <x v="0"/>
    <x v="0"/>
    <n v="5.2614381122320797"/>
    <n v="0.74749378704222802"/>
    <n v="0"/>
    <n v="14"/>
    <n v="2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1"/>
    <x v="1"/>
    <x v="1"/>
    <x v="1"/>
    <n v="7.5222392328512896E-2"/>
    <n v="2.52269627028038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1"/>
    <x v="2"/>
    <x v="1"/>
    <x v="1"/>
    <n v="2.11438550124875"/>
    <n v="0.62583941232589102"/>
    <n v="0"/>
    <n v="10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1"/>
    <x v="3"/>
    <x v="2"/>
    <x v="2"/>
    <n v="0.851975189665935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1"/>
    <x v="3"/>
    <x v="3"/>
    <x v="2"/>
    <n v="1.70395037933187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1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1"/>
    <x v="4"/>
    <x v="2"/>
    <x v="2"/>
    <n v="0.68393991966147405"/>
    <n v="3.8785517096169501E-2"/>
    <n v="0"/>
    <n v="1"/>
    <n v="0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1"/>
    <x v="4"/>
    <x v="3"/>
    <x v="2"/>
    <n v="1.3678798393229501"/>
    <n v="7.7571034192339003E-2"/>
    <n v="0"/>
    <n v="2"/>
    <n v="0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1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2"/>
    <x v="0"/>
    <x v="0"/>
    <x v="0"/>
    <n v="4.4991144352622499"/>
    <n v="3E+20"/>
    <n v="0"/>
    <n v="15"/>
    <n v="1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2"/>
    <x v="1"/>
    <x v="1"/>
    <x v="1"/>
    <n v="5.9418244638529301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2"/>
    <x v="2"/>
    <x v="1"/>
    <x v="1"/>
    <n v="1.4502636575240599"/>
    <n v="3E+20"/>
    <n v="0"/>
    <n v="11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2"/>
    <x v="3"/>
    <x v="2"/>
    <x v="2"/>
    <n v="0.82734821790328394"/>
    <n v="5.6303961686792102E-2"/>
    <n v="0"/>
    <n v="1"/>
    <n v="0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2"/>
    <x v="3"/>
    <x v="3"/>
    <x v="2"/>
    <n v="1.6546964358065701"/>
    <n v="0.112607923373584"/>
    <n v="0"/>
    <n v="2"/>
    <n v="0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2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2"/>
    <x v="4"/>
    <x v="2"/>
    <x v="2"/>
    <n v="0.66736804864654198"/>
    <n v="4.91914180872371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2"/>
    <x v="4"/>
    <x v="3"/>
    <x v="2"/>
    <n v="1.33473609729308"/>
    <n v="9.8382836174474297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2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3"/>
    <x v="0"/>
    <x v="0"/>
    <x v="0"/>
    <n v="6.4089254409401804"/>
    <n v="3E+20"/>
    <n v="0"/>
    <n v="24"/>
    <n v="4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3"/>
    <x v="1"/>
    <x v="1"/>
    <x v="1"/>
    <n v="8.2167854080019698E-2"/>
    <n v="2.8824072154868801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3"/>
    <x v="2"/>
    <x v="1"/>
    <x v="1"/>
    <n v="3.0990595327236798"/>
    <n v="3E+20"/>
    <n v="0"/>
    <n v="19"/>
    <n v="1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3"/>
    <x v="3"/>
    <x v="2"/>
    <x v="2"/>
    <n v="0.89294181827783703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3"/>
    <x v="3"/>
    <x v="3"/>
    <x v="2"/>
    <n v="1.7858836365556701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3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3"/>
    <x v="4"/>
    <x v="2"/>
    <x v="2"/>
    <n v="0.72090720879040104"/>
    <n v="4.22498213737122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3"/>
    <x v="4"/>
    <x v="3"/>
    <x v="2"/>
    <n v="1.4418144175808001"/>
    <n v="8.44996427474244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3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4"/>
    <x v="0"/>
    <x v="0"/>
    <x v="0"/>
    <n v="5.1789378749369899"/>
    <n v="3E+20"/>
    <n v="0"/>
    <n v="21"/>
    <n v="3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4"/>
    <x v="1"/>
    <x v="1"/>
    <x v="1"/>
    <n v="6.3399422044709594E-2"/>
    <n v="2.2982558960392099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4"/>
    <x v="2"/>
    <x v="1"/>
    <x v="1"/>
    <n v="2.1252042771814401"/>
    <n v="3E+20"/>
    <n v="0"/>
    <n v="17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4"/>
    <x v="3"/>
    <x v="2"/>
    <x v="2"/>
    <n v="0.822472904252884"/>
    <n v="5.6221807483110897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4"/>
    <x v="3"/>
    <x v="3"/>
    <x v="2"/>
    <n v="1.64494580850577"/>
    <n v="0.112443614966222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4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4"/>
    <x v="4"/>
    <x v="2"/>
    <x v="2"/>
    <n v="0.67269418360253397"/>
    <n v="4.6653236671117503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4"/>
    <x v="4"/>
    <x v="3"/>
    <x v="2"/>
    <n v="1.3453883672050699"/>
    <n v="9.3306473342235102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4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5"/>
    <x v="0"/>
    <x v="0"/>
    <x v="0"/>
    <n v="5.5964904562874196"/>
    <n v="3E+20"/>
    <n v="0"/>
    <n v="16"/>
    <n v="4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5"/>
    <x v="1"/>
    <x v="1"/>
    <x v="1"/>
    <n v="7.4053695460731803E-2"/>
    <n v="1.94439853268344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5"/>
    <x v="2"/>
    <x v="1"/>
    <x v="1"/>
    <n v="2.3469142658157098"/>
    <n v="3E+20"/>
    <n v="0"/>
    <n v="12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5"/>
    <x v="3"/>
    <x v="2"/>
    <x v="2"/>
    <n v="0.87741284435682299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5"/>
    <x v="3"/>
    <x v="3"/>
    <x v="2"/>
    <n v="1.75482568871365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5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5"/>
    <x v="4"/>
    <x v="2"/>
    <x v="2"/>
    <n v="0.71034840314866798"/>
    <n v="4.2038850564029999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5"/>
    <x v="4"/>
    <x v="3"/>
    <x v="2"/>
    <n v="1.42069680629734"/>
    <n v="8.4077701128059998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5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6"/>
    <x v="0"/>
    <x v="0"/>
    <x v="0"/>
    <n v="6.3004372758504799"/>
    <n v="3E+20"/>
    <n v="0"/>
    <n v="17"/>
    <n v="0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6"/>
    <x v="1"/>
    <x v="1"/>
    <x v="1"/>
    <n v="6.3744422075192098E-2"/>
    <n v="2.4902035935340499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6"/>
    <x v="2"/>
    <x v="1"/>
    <x v="1"/>
    <n v="3.07426996172225"/>
    <n v="3E+20"/>
    <n v="0"/>
    <n v="14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6"/>
    <x v="3"/>
    <x v="2"/>
    <x v="2"/>
    <n v="0.88261789039376104"/>
    <n v="2E+20"/>
    <n v="0"/>
    <n v="1"/>
    <n v="0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6"/>
    <x v="3"/>
    <x v="3"/>
    <x v="2"/>
    <n v="1.7652357807875201"/>
    <n v="2E+20"/>
    <n v="0"/>
    <n v="2"/>
    <n v="0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6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6"/>
    <x v="4"/>
    <x v="2"/>
    <x v="2"/>
    <n v="0.69859355563276204"/>
    <n v="3E+20"/>
    <n v="0"/>
    <n v="1"/>
    <n v="0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6"/>
    <x v="4"/>
    <x v="3"/>
    <x v="2"/>
    <n v="1.3971871112655201"/>
    <n v="3E+20"/>
    <n v="0"/>
    <n v="2"/>
    <n v="0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6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7"/>
    <x v="0"/>
    <x v="0"/>
    <x v="0"/>
    <n v="4.2630193315697698"/>
    <n v="0.78905848076740004"/>
    <n v="0"/>
    <n v="15"/>
    <n v="7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7"/>
    <x v="1"/>
    <x v="1"/>
    <x v="1"/>
    <n v="5.5027265968253698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7"/>
    <x v="2"/>
    <x v="1"/>
    <x v="1"/>
    <n v="1.3653423520933301"/>
    <n v="0.60143402362107001"/>
    <n v="0"/>
    <n v="11"/>
    <n v="3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7"/>
    <x v="3"/>
    <x v="2"/>
    <x v="2"/>
    <n v="0.79563957753275305"/>
    <n v="6.1140136946737998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7"/>
    <x v="3"/>
    <x v="3"/>
    <x v="2"/>
    <n v="1.5912791550655101"/>
    <n v="0.122280273893476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7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7"/>
    <x v="4"/>
    <x v="2"/>
    <x v="2"/>
    <n v="0.62568527922134098"/>
    <n v="4.94125145951059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7"/>
    <x v="4"/>
    <x v="3"/>
    <x v="2"/>
    <n v="1.25137055844268"/>
    <n v="9.8825029190211702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7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8"/>
    <x v="0"/>
    <x v="0"/>
    <x v="0"/>
    <n v="5.8066946510766"/>
    <n v="3E+20"/>
    <n v="0"/>
    <n v="21"/>
    <n v="3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8"/>
    <x v="1"/>
    <x v="1"/>
    <x v="1"/>
    <n v="6.6475155388688006E-2"/>
    <n v="2E+20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8"/>
    <x v="2"/>
    <x v="1"/>
    <x v="1"/>
    <n v="2.68634489503048"/>
    <n v="3E+20"/>
    <n v="0"/>
    <n v="17"/>
    <n v="0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8"/>
    <x v="3"/>
    <x v="2"/>
    <x v="2"/>
    <n v="0.85298505910226696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8"/>
    <x v="3"/>
    <x v="3"/>
    <x v="2"/>
    <n v="1.7059701182045299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8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8"/>
    <x v="4"/>
    <x v="2"/>
    <x v="2"/>
    <n v="0.67395224122644704"/>
    <n v="3.9248784830353503E-2"/>
    <n v="0"/>
    <n v="1"/>
    <n v="0.5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8"/>
    <x v="4"/>
    <x v="3"/>
    <x v="2"/>
    <n v="1.3479044824528901"/>
    <n v="7.8497569660707103E-2"/>
    <n v="0"/>
    <n v="2"/>
    <n v="1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8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29"/>
    <x v="0"/>
    <x v="0"/>
    <x v="0"/>
    <n v="8.3550459526658596"/>
    <n v="3E+20"/>
    <n v="0"/>
    <n v="28"/>
    <n v="11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29"/>
    <x v="1"/>
    <x v="1"/>
    <x v="1"/>
    <n v="6.2564679398689704E-2"/>
    <n v="1.29846377078962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29"/>
    <x v="2"/>
    <x v="1"/>
    <x v="1"/>
    <n v="5.0272524622418899"/>
    <n v="3E+20"/>
    <n v="0"/>
    <n v="25"/>
    <n v="7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29"/>
    <x v="3"/>
    <x v="2"/>
    <x v="2"/>
    <n v="0.91388224334429202"/>
    <n v="2E+20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29"/>
    <x v="3"/>
    <x v="3"/>
    <x v="2"/>
    <n v="1.82776448668858"/>
    <n v="2E+20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29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29"/>
    <x v="4"/>
    <x v="2"/>
    <x v="2"/>
    <n v="0.71873216216834901"/>
    <n v="3.0999346033552502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29"/>
    <x v="4"/>
    <x v="3"/>
    <x v="2"/>
    <n v="1.4374643243367"/>
    <n v="6.1998692067105003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29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  <r>
    <x v="0"/>
    <s v="2025-05-22 01:25:31"/>
    <n v="30"/>
    <x v="0"/>
    <x v="0"/>
    <x v="0"/>
    <n v="4.3912537221678196"/>
    <n v="0.45124506924524199"/>
    <n v="0"/>
    <n v="12"/>
    <n v="7"/>
    <n v="0"/>
    <s v="Unnamed ProjectEntity 1WIPEntity"/>
    <n v="30"/>
    <n v="5.3716564792553259"/>
    <n v="0.88789470899097533"/>
    <n v="0.95"/>
    <n v="0.33154533313227752"/>
    <n v="4.1194471364998897"/>
    <n v="8.3550459526658596"/>
    <n v="0.33154533313227752"/>
  </r>
  <r>
    <x v="0"/>
    <s v="2025-05-22 01:25:31"/>
    <n v="30"/>
    <x v="1"/>
    <x v="1"/>
    <x v="1"/>
    <n v="6.8883751693662801E-2"/>
    <n v="2.05533546433216E-2"/>
    <n v="0"/>
    <n v="2"/>
    <n v="0"/>
    <n v="0"/>
    <s v="Unnamed ProjectEsperar Pedido.QueueNumber WaitingQueue"/>
    <n v="30"/>
    <n v="6.4486663216296092E-2"/>
    <n v="9.9599676129587186E-3"/>
    <n v="0.95"/>
    <n v="3.7191130285907097E-3"/>
    <n v="4.2893123096714503E-2"/>
    <n v="8.2167854080019698E-2"/>
    <n v="3.7191130285907097E-3"/>
  </r>
  <r>
    <x v="0"/>
    <s v="2025-05-22 01:25:31"/>
    <n v="30"/>
    <x v="2"/>
    <x v="1"/>
    <x v="1"/>
    <n v="1.24110036356585"/>
    <n v="3E+20"/>
    <n v="0"/>
    <n v="9"/>
    <n v="3"/>
    <n v="0"/>
    <s v="Unnamed ProjectOcuparCajero.QueueNumber WaitingQueue"/>
    <n v="30"/>
    <n v="2.2371764556984122"/>
    <n v="0.80238316654381003"/>
    <n v="0.95"/>
    <n v="0.29961479841885524"/>
    <n v="1.16047720119272"/>
    <n v="5.0272524622418899"/>
    <n v="0.29961479841885524"/>
  </r>
  <r>
    <x v="0"/>
    <s v="2025-05-22 01:25:31"/>
    <n v="30"/>
    <x v="3"/>
    <x v="2"/>
    <x v="2"/>
    <n v="0.84529018536164602"/>
    <n v="3.8576460972963598E-2"/>
    <n v="0"/>
    <n v="1"/>
    <n v="1"/>
    <n v="0"/>
    <s v="Unnamed ProjectrCajeroInstantaneous UtilizationResource"/>
    <n v="30"/>
    <n v="0.85304256406630496"/>
    <n v="2.975273171257193E-2"/>
    <n v="0.95"/>
    <n v="1.1109852606791693E-2"/>
    <n v="0.79563957753275305"/>
    <n v="0.91388224334429202"/>
    <n v="1.1109852606791693E-2"/>
  </r>
  <r>
    <x v="0"/>
    <s v="2025-05-22 01:25:31"/>
    <n v="30"/>
    <x v="3"/>
    <x v="3"/>
    <x v="2"/>
    <n v="1.69058037072329"/>
    <n v="7.7152921945927294E-2"/>
    <n v="0"/>
    <n v="2"/>
    <n v="2"/>
    <n v="0"/>
    <s v="Unnamed ProjectrCajeroNumber BusyResource"/>
    <n v="30"/>
    <n v="1.7060851281326097"/>
    <n v="5.9505463425143672E-2"/>
    <n v="0.95"/>
    <n v="2.2219705213583314E-2"/>
    <n v="1.5912791550655101"/>
    <n v="1.82776448668858"/>
    <n v="2.2219705213583314E-2"/>
  </r>
  <r>
    <x v="0"/>
    <s v="2025-05-22 01:25:31"/>
    <n v="30"/>
    <x v="3"/>
    <x v="4"/>
    <x v="2"/>
    <n v="2"/>
    <n v="2E+20"/>
    <n v="2"/>
    <n v="2"/>
    <n v="2"/>
    <n v="0"/>
    <s v="Unnamed ProjectrCajeroNumber ScheduledResource"/>
    <n v="30"/>
    <n v="2"/>
    <n v="0"/>
    <n v="0.95"/>
    <n v="0"/>
    <n v="2"/>
    <n v="2"/>
    <n v="0"/>
  </r>
  <r>
    <x v="0"/>
    <s v="2025-05-22 01:25:31"/>
    <n v="30"/>
    <x v="4"/>
    <x v="2"/>
    <x v="2"/>
    <n v="0.69534461809250703"/>
    <n v="3.4822089803653498E-2"/>
    <n v="0"/>
    <n v="1"/>
    <n v="1"/>
    <n v="0"/>
    <s v="Unnamed ProjectrchefInstantaneous UtilizationResource"/>
    <n v="30"/>
    <n v="0.6819541161040038"/>
    <n v="2.5427627669908321E-2"/>
    <n v="0.95"/>
    <n v="9.4948322151438332E-3"/>
    <n v="0.62568527922134098"/>
    <n v="0.72090720879040104"/>
    <n v="9.4948322151438332E-3"/>
  </r>
  <r>
    <x v="0"/>
    <s v="2025-05-22 01:25:31"/>
    <n v="30"/>
    <x v="4"/>
    <x v="3"/>
    <x v="2"/>
    <n v="1.3906892361850101"/>
    <n v="6.9644179607307094E-2"/>
    <n v="0"/>
    <n v="2"/>
    <n v="2"/>
    <n v="0"/>
    <s v="Unnamed ProjectrchefNumber BusyResource"/>
    <n v="30"/>
    <n v="1.3639082322080078"/>
    <n v="5.0855255339816108E-2"/>
    <n v="0.95"/>
    <n v="1.8989664430287469E-2"/>
    <n v="1.25137055844268"/>
    <n v="1.4418144175808001"/>
    <n v="1.8989664430287469E-2"/>
  </r>
  <r>
    <x v="0"/>
    <s v="2025-05-22 01:25:31"/>
    <n v="30"/>
    <x v="4"/>
    <x v="4"/>
    <x v="2"/>
    <n v="2"/>
    <n v="2E+20"/>
    <n v="2"/>
    <n v="2"/>
    <n v="2"/>
    <n v="0"/>
    <s v="Unnamed ProjectrchefNumber ScheduledResource"/>
    <n v="30"/>
    <n v="2"/>
    <n v="0"/>
    <n v="0.95"/>
    <n v="0"/>
    <n v="2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6"/>
        <item m="1" x="39"/>
        <item m="1" x="11"/>
        <item m="1" x="91"/>
        <item m="1" x="74"/>
        <item m="1" x="44"/>
        <item m="1" x="100"/>
        <item m="1" x="32"/>
        <item m="1" x="36"/>
        <item x="0"/>
        <item m="1" x="69"/>
        <item m="1" x="81"/>
        <item m="1" x="86"/>
        <item m="1" x="10"/>
        <item m="1" x="38"/>
        <item m="1" x="28"/>
        <item m="1" x="103"/>
        <item m="1" x="98"/>
        <item m="1" x="26"/>
        <item m="1" x="20"/>
        <item m="1" x="92"/>
        <item m="1" x="12"/>
        <item m="1" x="45"/>
        <item m="1" x="31"/>
        <item m="1" x="56"/>
        <item m="1" x="83"/>
        <item m="1" x="47"/>
        <item m="1" x="17"/>
        <item m="1" x="41"/>
        <item m="1" x="70"/>
        <item m="1" x="60"/>
        <item m="1" x="18"/>
        <item m="1" x="77"/>
        <item m="1" x="9"/>
        <item m="1" x="97"/>
        <item m="1" x="65"/>
        <item m="1" x="85"/>
        <item m="1" x="40"/>
        <item m="1" x="99"/>
        <item m="1" x="68"/>
        <item m="1" x="22"/>
        <item m="1" x="59"/>
        <item m="1" x="73"/>
        <item m="1" x="84"/>
        <item m="1" x="90"/>
        <item m="1" x="8"/>
        <item m="1" x="21"/>
        <item m="1" x="30"/>
        <item m="1" x="23"/>
        <item m="1" x="7"/>
        <item m="1" x="82"/>
        <item m="1" x="94"/>
        <item m="1" x="34"/>
        <item m="1" x="64"/>
        <item m="1" x="25"/>
        <item m="1" x="42"/>
        <item m="1" x="29"/>
        <item m="1" x="50"/>
        <item m="1" x="37"/>
        <item m="1" x="57"/>
        <item m="1" x="43"/>
        <item m="1" x="66"/>
        <item m="1" x="51"/>
        <item m="1" x="71"/>
        <item m="1" x="58"/>
        <item m="1" x="79"/>
        <item m="1" x="72"/>
        <item m="1" x="87"/>
        <item m="1" x="95"/>
        <item m="1" x="75"/>
        <item m="1" x="54"/>
        <item m="1" x="35"/>
        <item m="1" x="48"/>
        <item m="1" x="19"/>
        <item m="1" x="24"/>
        <item m="1" x="33"/>
        <item m="1" x="61"/>
        <item m="1" x="96"/>
        <item m="1" x="89"/>
        <item m="1" x="76"/>
        <item m="1" x="49"/>
        <item m="1" x="62"/>
        <item m="1" x="53"/>
        <item m="1" x="78"/>
        <item m="1" x="63"/>
        <item m="1" x="46"/>
        <item m="1" x="52"/>
        <item m="1" x="15"/>
        <item m="1" x="55"/>
        <item m="1" x="67"/>
        <item m="1" x="80"/>
        <item m="1" x="88"/>
        <item m="1" x="93"/>
        <item m="1" x="102"/>
        <item m="1" x="13"/>
        <item m="1" x="27"/>
        <item m="1" x="101"/>
        <item m="1" x="14"/>
        <item m="1" x="6"/>
        <item x="1"/>
        <item x="2"/>
        <item x="3"/>
        <item x="4"/>
        <item x="5"/>
      </items>
    </pivotField>
    <pivotField axis="axisRow" compact="0" outline="0" showAll="0" defaultSubtotal="0">
      <items count="13">
        <item m="1" x="12"/>
        <item x="0"/>
        <item x="1"/>
        <item x="2"/>
        <item x="3"/>
        <item x="4"/>
        <item x="5"/>
        <item x="6"/>
        <item m="1" x="9"/>
        <item m="1" x="10"/>
        <item m="1" x="11"/>
        <item m="1" x="8"/>
        <item x="7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1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  <i r="1">
      <x v="101"/>
      <x v="12"/>
      <x v="2"/>
    </i>
    <i r="1">
      <x v="102"/>
      <x v="12"/>
      <x v="2"/>
    </i>
    <i r="1">
      <x v="103"/>
      <x v="12"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2"/>
        <item m="1" x="66"/>
        <item m="1" x="53"/>
        <item m="1" x="70"/>
        <item m="1" x="55"/>
        <item x="0"/>
        <item x="1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79"/>
        <item m="1" x="21"/>
        <item m="1" x="82"/>
        <item m="1" x="49"/>
        <item m="1" x="16"/>
        <item m="1" x="77"/>
        <item m="1" x="73"/>
        <item m="1" x="50"/>
        <item m="1" x="17"/>
        <item m="1" x="78"/>
        <item m="1" x="74"/>
        <item m="1" x="12"/>
        <item m="1" x="46"/>
        <item m="1" x="30"/>
        <item m="1" x="20"/>
        <item m="1" x="71"/>
        <item m="1" x="42"/>
        <item m="1" x="72"/>
        <item m="1" x="43"/>
        <item m="1" x="29"/>
        <item m="1" x="24"/>
        <item m="1" x="51"/>
        <item m="1" x="26"/>
        <item m="1" x="81"/>
        <item m="1" x="75"/>
        <item m="1" x="25"/>
        <item m="1" x="23"/>
        <item m="1" x="68"/>
        <item m="1" x="76"/>
        <item m="1" x="13"/>
        <item m="1" x="31"/>
        <item m="1" x="44"/>
        <item m="1" x="65"/>
        <item m="1" x="80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3"/>
        <item x="4"/>
        <item x="5"/>
        <item x="6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5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4"/>
      <x/>
      <x/>
    </i>
    <i r="1">
      <x v="5"/>
      <x/>
      <x/>
    </i>
    <i r="1">
      <x v="6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x="0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7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1"/>
        <item x="2"/>
        <item x="3"/>
        <item x="4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31" tableType="queryTable" totalsRowShown="0">
  <autoFilter ref="A1:Y331" xr:uid="{C3D003CA-1AFF-426C-A03D-D3AF5760DF1A}"/>
  <sortState xmlns:xlrd2="http://schemas.microsoft.com/office/spreadsheetml/2017/richdata2" ref="A2:Y331">
    <sortCondition ref="D1:D33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71" tableType="queryTable" totalsRowShown="0">
  <autoFilter ref="A1:U27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91" tableType="queryTable" totalsRowShown="0">
  <autoFilter ref="A1:O9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11" tableType="queryTable" totalsRowShown="0">
  <autoFilter ref="A1:P21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>
      <c r="A2" t="s">
        <v>67</v>
      </c>
      <c r="B2" t="s">
        <v>69</v>
      </c>
      <c r="C2" t="s">
        <v>70</v>
      </c>
      <c r="D2">
        <v>2</v>
      </c>
      <c r="E2">
        <v>30</v>
      </c>
      <c r="F2">
        <v>480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4"/>
  <sheetViews>
    <sheetView tabSelected="1" topLeftCell="A5" workbookViewId="0">
      <selection activeCell="D19" sqref="D19"/>
    </sheetView>
  </sheetViews>
  <sheetFormatPr defaultRowHeight="15"/>
  <cols>
    <col min="1" max="1" width="37.42578125" bestFit="1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2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>
      <c r="A3" t="s">
        <v>67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679.23333333333335</v>
      </c>
      <c r="O3" t="s">
        <v>67</v>
      </c>
      <c r="P3" t="s">
        <v>71</v>
      </c>
      <c r="Q3" t="s">
        <v>88</v>
      </c>
      <c r="R3" t="s">
        <v>73</v>
      </c>
      <c r="S3" s="5">
        <v>5.3716564792553259</v>
      </c>
      <c r="T3" s="5">
        <v>0.33154533313227752</v>
      </c>
      <c r="U3" s="5">
        <v>0.88789470899097533</v>
      </c>
      <c r="V3" s="5">
        <v>4.1194471364998897</v>
      </c>
      <c r="W3" s="5">
        <v>8.3550459526658596</v>
      </c>
      <c r="X3" s="5">
        <v>0</v>
      </c>
      <c r="Y3" s="5">
        <v>28</v>
      </c>
      <c r="AA3" t="s">
        <v>67</v>
      </c>
      <c r="AB3" t="s">
        <v>96</v>
      </c>
      <c r="AC3" t="s">
        <v>97</v>
      </c>
      <c r="AD3" t="s">
        <v>85</v>
      </c>
      <c r="AE3" s="5">
        <v>209.43333333333334</v>
      </c>
      <c r="AF3" s="5">
        <v>6.121318922769599</v>
      </c>
      <c r="AG3" s="5">
        <v>16.39319314865763</v>
      </c>
      <c r="AH3" s="5">
        <v>185</v>
      </c>
      <c r="AI3" s="5">
        <v>251</v>
      </c>
      <c r="AK3" t="s">
        <v>67</v>
      </c>
      <c r="AL3" t="s">
        <v>104</v>
      </c>
      <c r="AM3" t="s">
        <v>103</v>
      </c>
      <c r="AN3" t="s">
        <v>105</v>
      </c>
      <c r="AO3" s="5">
        <v>679.23333333333335</v>
      </c>
      <c r="AP3" s="5">
        <v>9.1736728317556295</v>
      </c>
      <c r="AQ3" s="5">
        <v>24.567547045158822</v>
      </c>
      <c r="AR3" s="5">
        <v>632</v>
      </c>
      <c r="AS3" s="5">
        <v>729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>
      <c r="C4" t="s">
        <v>74</v>
      </c>
      <c r="D4" t="s">
        <v>73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679.23333333333335</v>
      </c>
      <c r="P4" t="s">
        <v>79</v>
      </c>
      <c r="Q4" t="s">
        <v>89</v>
      </c>
      <c r="R4" t="s">
        <v>81</v>
      </c>
      <c r="S4" s="5">
        <v>6.4486663216296092E-2</v>
      </c>
      <c r="T4" s="5">
        <v>3.7191130285907097E-3</v>
      </c>
      <c r="U4" s="5">
        <v>9.9599676129587186E-3</v>
      </c>
      <c r="V4" s="5">
        <v>4.2893123096714503E-2</v>
      </c>
      <c r="W4" s="5">
        <v>8.2167854080019698E-2</v>
      </c>
      <c r="X4" s="5">
        <v>0</v>
      </c>
      <c r="Y4" s="5">
        <v>2</v>
      </c>
      <c r="AB4" t="s">
        <v>98</v>
      </c>
      <c r="AC4" t="s">
        <v>97</v>
      </c>
      <c r="AD4" t="s">
        <v>85</v>
      </c>
      <c r="AE4" s="5">
        <v>100.8</v>
      </c>
      <c r="AF4" s="5">
        <v>3.2955001950805047</v>
      </c>
      <c r="AG4" s="5">
        <v>8.8255116096696504</v>
      </c>
      <c r="AH4" s="5">
        <v>78</v>
      </c>
      <c r="AI4" s="5">
        <v>116</v>
      </c>
      <c r="AL4" t="s">
        <v>100</v>
      </c>
      <c r="AM4" t="s">
        <v>101</v>
      </c>
      <c r="AN4" t="s">
        <v>73</v>
      </c>
      <c r="AO4" s="5">
        <v>684.23333333333335</v>
      </c>
      <c r="AP4" s="5">
        <v>9.1642340130865865</v>
      </c>
      <c r="AQ4" s="5">
        <v>24.542269424520363</v>
      </c>
      <c r="AR4" s="5">
        <v>639</v>
      </c>
      <c r="AS4" s="5">
        <v>740</v>
      </c>
    </row>
    <row r="5" spans="1:52">
      <c r="C5" t="s">
        <v>75</v>
      </c>
      <c r="D5" t="s">
        <v>73</v>
      </c>
      <c r="E5" s="5">
        <v>3.7661591772463892</v>
      </c>
      <c r="F5" s="5">
        <v>1</v>
      </c>
      <c r="G5" s="5">
        <v>0.18957329568354728</v>
      </c>
      <c r="H5" s="5">
        <v>0.50768660989189007</v>
      </c>
      <c r="I5" s="5">
        <v>3.05178888852276</v>
      </c>
      <c r="J5" s="5">
        <v>5.4245064283989102</v>
      </c>
      <c r="K5" s="5">
        <v>1.1021083273538601</v>
      </c>
      <c r="L5" s="5">
        <v>16.799531229886998</v>
      </c>
      <c r="M5" s="5">
        <v>679.23333333333335</v>
      </c>
      <c r="P5" t="s">
        <v>82</v>
      </c>
      <c r="Q5" t="s">
        <v>89</v>
      </c>
      <c r="R5" t="s">
        <v>81</v>
      </c>
      <c r="S5" s="5">
        <v>2.2371764556984122</v>
      </c>
      <c r="T5" s="5">
        <v>0.29961479841885524</v>
      </c>
      <c r="U5" s="5">
        <v>0.80238316654381003</v>
      </c>
      <c r="V5" s="5">
        <v>1.16047720119272</v>
      </c>
      <c r="W5" s="5">
        <v>5.0272524622418899</v>
      </c>
      <c r="X5" s="5">
        <v>0</v>
      </c>
      <c r="Y5" s="5">
        <v>25</v>
      </c>
      <c r="AB5" t="s">
        <v>99</v>
      </c>
      <c r="AC5" t="s">
        <v>97</v>
      </c>
      <c r="AD5" t="s">
        <v>85</v>
      </c>
      <c r="AE5" s="5">
        <v>369</v>
      </c>
      <c r="AF5" s="5">
        <v>6.1809713778174729</v>
      </c>
      <c r="AG5" s="5">
        <v>16.552945357246848</v>
      </c>
      <c r="AH5" s="5">
        <v>325</v>
      </c>
      <c r="AI5" s="5">
        <v>392</v>
      </c>
      <c r="AL5" t="s">
        <v>102</v>
      </c>
      <c r="AM5" t="s">
        <v>103</v>
      </c>
      <c r="AN5" t="s">
        <v>73</v>
      </c>
      <c r="AO5" s="5">
        <v>679.23333333333335</v>
      </c>
      <c r="AP5" s="5">
        <v>9.1736728317556295</v>
      </c>
      <c r="AQ5" s="5">
        <v>24.567547045158822</v>
      </c>
      <c r="AR5" s="5">
        <v>632</v>
      </c>
      <c r="AS5" s="5">
        <v>729</v>
      </c>
    </row>
    <row r="6" spans="1:52">
      <c r="C6" t="s">
        <v>76</v>
      </c>
      <c r="D6" t="s">
        <v>73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679.23333333333335</v>
      </c>
      <c r="P6" t="s">
        <v>90</v>
      </c>
      <c r="Q6" t="s">
        <v>91</v>
      </c>
      <c r="R6" t="s">
        <v>92</v>
      </c>
      <c r="S6" s="5">
        <v>0.85304256406630496</v>
      </c>
      <c r="T6" s="5">
        <v>1.1109852606791693E-2</v>
      </c>
      <c r="U6" s="5">
        <v>2.975273171257193E-2</v>
      </c>
      <c r="V6" s="5">
        <v>0.79563957753275305</v>
      </c>
      <c r="W6" s="5">
        <v>0.91388224334429202</v>
      </c>
      <c r="X6" s="5">
        <v>0</v>
      </c>
      <c r="Y6" s="5">
        <v>1</v>
      </c>
      <c r="AL6" t="s">
        <v>106</v>
      </c>
      <c r="AM6" t="s">
        <v>107</v>
      </c>
      <c r="AN6" t="s">
        <v>92</v>
      </c>
      <c r="AO6" s="5">
        <v>682.33333333333337</v>
      </c>
      <c r="AP6" s="5">
        <v>9.062755957768065</v>
      </c>
      <c r="AQ6" s="5">
        <v>24.270506201238735</v>
      </c>
      <c r="AR6" s="5">
        <v>636</v>
      </c>
      <c r="AS6" s="5">
        <v>733</v>
      </c>
    </row>
    <row r="7" spans="1:52">
      <c r="C7" t="s">
        <v>77</v>
      </c>
      <c r="D7" t="s">
        <v>73</v>
      </c>
      <c r="E7" s="5">
        <v>2.1646069252698128</v>
      </c>
      <c r="F7" s="5">
        <v>1</v>
      </c>
      <c r="G7" s="5">
        <v>5.4874180230031506E-3</v>
      </c>
      <c r="H7" s="5">
        <v>1.4695575361039154E-2</v>
      </c>
      <c r="I7" s="5">
        <v>2.1409329879735002</v>
      </c>
      <c r="J7" s="5">
        <v>2.2049521112294199</v>
      </c>
      <c r="K7" s="5">
        <v>1.02131826584019</v>
      </c>
      <c r="L7" s="5">
        <v>3.1565601386708799</v>
      </c>
      <c r="M7" s="5">
        <v>679.23333333333335</v>
      </c>
      <c r="Q7" t="s">
        <v>93</v>
      </c>
      <c r="R7" t="s">
        <v>92</v>
      </c>
      <c r="S7" s="5">
        <v>1.7060851281326097</v>
      </c>
      <c r="T7" s="5">
        <v>2.2219705213583314E-2</v>
      </c>
      <c r="U7" s="5">
        <v>5.9505463425143672E-2</v>
      </c>
      <c r="V7" s="5">
        <v>1.5912791550655101</v>
      </c>
      <c r="W7" s="5">
        <v>1.82776448668858</v>
      </c>
      <c r="X7" s="5">
        <v>0</v>
      </c>
      <c r="Y7" s="5">
        <v>2</v>
      </c>
      <c r="AL7" t="s">
        <v>108</v>
      </c>
      <c r="AM7" t="s">
        <v>109</v>
      </c>
      <c r="AN7" t="s">
        <v>92</v>
      </c>
      <c r="AO7" s="5">
        <v>0.85304256406630496</v>
      </c>
      <c r="AP7" s="5">
        <v>1.1109852606791693E-2</v>
      </c>
      <c r="AQ7" s="5">
        <v>2.975273171257193E-2</v>
      </c>
      <c r="AR7" s="5">
        <v>0.79563957753275305</v>
      </c>
      <c r="AS7" s="5">
        <v>0.91388224334429202</v>
      </c>
    </row>
    <row r="8" spans="1:52">
      <c r="C8" t="s">
        <v>78</v>
      </c>
      <c r="D8" t="s">
        <v>73</v>
      </c>
      <c r="E8" s="5">
        <v>1.6015522519765757</v>
      </c>
      <c r="F8" s="5">
        <v>1</v>
      </c>
      <c r="G8" s="5">
        <v>0.19051987014078101</v>
      </c>
      <c r="H8" s="5">
        <v>0.51022158284507146</v>
      </c>
      <c r="I8" s="5">
        <v>0.89357558090575995</v>
      </c>
      <c r="J8" s="5">
        <v>3.2802088127851201</v>
      </c>
      <c r="K8" s="5">
        <v>0</v>
      </c>
      <c r="L8" s="5">
        <v>14.282258531030999</v>
      </c>
      <c r="M8" s="5">
        <v>679.23333333333335</v>
      </c>
      <c r="Q8" t="s">
        <v>94</v>
      </c>
      <c r="R8" t="s">
        <v>92</v>
      </c>
      <c r="S8" s="5">
        <v>2</v>
      </c>
      <c r="T8" s="5">
        <v>0</v>
      </c>
      <c r="U8" s="5">
        <v>0</v>
      </c>
      <c r="V8" s="5">
        <v>2</v>
      </c>
      <c r="W8" s="5">
        <v>2</v>
      </c>
      <c r="X8" s="5">
        <v>2</v>
      </c>
      <c r="Y8" s="5">
        <v>2</v>
      </c>
      <c r="AL8" t="s">
        <v>110</v>
      </c>
      <c r="AM8" t="s">
        <v>107</v>
      </c>
      <c r="AN8" t="s">
        <v>92</v>
      </c>
      <c r="AO8" s="5">
        <v>680.6</v>
      </c>
      <c r="AP8" s="5">
        <v>9.1010143681498281</v>
      </c>
      <c r="AQ8" s="5">
        <v>24.37296410595857</v>
      </c>
      <c r="AR8" s="5">
        <v>634</v>
      </c>
      <c r="AS8" s="5">
        <v>731</v>
      </c>
    </row>
    <row r="9" spans="1:52">
      <c r="B9" t="s">
        <v>79</v>
      </c>
      <c r="C9" t="s">
        <v>80</v>
      </c>
      <c r="D9" t="s">
        <v>81</v>
      </c>
      <c r="E9" s="5">
        <v>4.5345239120485908E-2</v>
      </c>
      <c r="F9" s="5">
        <v>1</v>
      </c>
      <c r="G9" s="5">
        <v>2.3034273596197249E-3</v>
      </c>
      <c r="H9" s="5">
        <v>6.1686917617851883E-3</v>
      </c>
      <c r="I9" s="5">
        <v>3.1674921671419901E-2</v>
      </c>
      <c r="J9" s="5">
        <v>5.5478402117800897E-2</v>
      </c>
      <c r="K9" s="5">
        <v>0</v>
      </c>
      <c r="L9" s="5">
        <v>1.1571081900022799</v>
      </c>
      <c r="M9" s="5">
        <v>680.6</v>
      </c>
      <c r="P9" t="s">
        <v>95</v>
      </c>
      <c r="Q9" t="s">
        <v>91</v>
      </c>
      <c r="R9" t="s">
        <v>92</v>
      </c>
      <c r="S9" s="5">
        <v>0.6819541161040038</v>
      </c>
      <c r="T9" s="5">
        <v>9.4948322151438332E-3</v>
      </c>
      <c r="U9" s="5">
        <v>2.5427627669908321E-2</v>
      </c>
      <c r="V9" s="5">
        <v>0.62568527922134098</v>
      </c>
      <c r="W9" s="5">
        <v>0.72090720879040104</v>
      </c>
      <c r="X9" s="5">
        <v>0</v>
      </c>
      <c r="Y9" s="5">
        <v>1</v>
      </c>
      <c r="AL9" t="s">
        <v>111</v>
      </c>
      <c r="AM9" t="s">
        <v>109</v>
      </c>
      <c r="AN9" t="s">
        <v>92</v>
      </c>
      <c r="AO9" s="5">
        <v>0.6819541161040038</v>
      </c>
      <c r="AP9" s="5">
        <v>9.4948322151438332E-3</v>
      </c>
      <c r="AQ9" s="5">
        <v>2.5427627669908321E-2</v>
      </c>
      <c r="AR9" s="5">
        <v>0.62568527922134098</v>
      </c>
      <c r="AS9" s="5">
        <v>0.72090720879040104</v>
      </c>
    </row>
    <row r="10" spans="1:52">
      <c r="B10" t="s">
        <v>82</v>
      </c>
      <c r="C10" t="s">
        <v>80</v>
      </c>
      <c r="D10" t="s">
        <v>81</v>
      </c>
      <c r="E10" s="5">
        <v>1.557272958111948</v>
      </c>
      <c r="F10" s="5">
        <v>1</v>
      </c>
      <c r="G10" s="5">
        <v>0.1901222215889217</v>
      </c>
      <c r="H10" s="5">
        <v>0.50915666046508157</v>
      </c>
      <c r="I10" s="5">
        <v>0.85573159178621905</v>
      </c>
      <c r="J10" s="5">
        <v>3.2591534503304098</v>
      </c>
      <c r="K10" s="5">
        <v>0</v>
      </c>
      <c r="L10" s="5">
        <v>14.282258531030999</v>
      </c>
      <c r="M10" s="5">
        <v>682.33333333333337</v>
      </c>
      <c r="Q10" t="s">
        <v>93</v>
      </c>
      <c r="R10" t="s">
        <v>92</v>
      </c>
      <c r="S10" s="5">
        <v>1.3639082322080078</v>
      </c>
      <c r="T10" s="5">
        <v>1.8989664430287469E-2</v>
      </c>
      <c r="U10" s="5">
        <v>5.0855255339816108E-2</v>
      </c>
      <c r="V10" s="5">
        <v>1.25137055844268</v>
      </c>
      <c r="W10" s="5">
        <v>1.4418144175808001</v>
      </c>
      <c r="X10" s="5">
        <v>0</v>
      </c>
      <c r="Y10" s="5">
        <v>2</v>
      </c>
    </row>
    <row r="11" spans="1:52">
      <c r="B11" t="s">
        <v>83</v>
      </c>
      <c r="C11" t="s">
        <v>84</v>
      </c>
      <c r="D11" t="s">
        <v>85</v>
      </c>
      <c r="E11" s="5">
        <v>5.8802791400645191E-2</v>
      </c>
      <c r="F11" s="5">
        <v>1</v>
      </c>
      <c r="G11" s="5">
        <v>2.2178777596145966E-2</v>
      </c>
      <c r="H11" s="5">
        <v>5.9395857252645602E-2</v>
      </c>
      <c r="I11" s="5">
        <v>0</v>
      </c>
      <c r="J11" s="5">
        <v>0.25925925925925902</v>
      </c>
      <c r="K11" s="5">
        <v>0</v>
      </c>
      <c r="L11" s="5">
        <v>1</v>
      </c>
      <c r="M11" s="5">
        <v>679.23333333333335</v>
      </c>
      <c r="Q11" t="s">
        <v>94</v>
      </c>
      <c r="R11" t="s">
        <v>92</v>
      </c>
      <c r="S11" s="5">
        <v>2</v>
      </c>
      <c r="T11" s="5">
        <v>0</v>
      </c>
      <c r="U11" s="5">
        <v>0</v>
      </c>
      <c r="V11" s="5">
        <v>2</v>
      </c>
      <c r="W11" s="5">
        <v>2</v>
      </c>
      <c r="X11" s="5">
        <v>2</v>
      </c>
      <c r="Y11" s="5">
        <v>2</v>
      </c>
    </row>
    <row r="12" spans="1:52">
      <c r="B12" t="s">
        <v>86</v>
      </c>
      <c r="C12" t="s">
        <v>84</v>
      </c>
      <c r="D12" t="s">
        <v>85</v>
      </c>
      <c r="E12" s="5">
        <v>1.6015522519765757</v>
      </c>
      <c r="F12" s="5">
        <v>1</v>
      </c>
      <c r="G12" s="5">
        <v>0.19051987014078101</v>
      </c>
      <c r="H12" s="5">
        <v>0.51022158284507146</v>
      </c>
      <c r="I12" s="5">
        <v>0.89357558090575995</v>
      </c>
      <c r="J12" s="5">
        <v>3.2802088127851201</v>
      </c>
      <c r="K12" s="5">
        <v>0</v>
      </c>
      <c r="L12" s="5">
        <v>14.282258531030999</v>
      </c>
      <c r="M12" s="5">
        <v>679.23333333333335</v>
      </c>
    </row>
    <row r="13" spans="1:52">
      <c r="B13" t="s">
        <v>87</v>
      </c>
      <c r="C13" t="s">
        <v>84</v>
      </c>
      <c r="D13" t="s">
        <v>85</v>
      </c>
      <c r="E13" s="5">
        <v>238.04364708674956</v>
      </c>
      <c r="F13" s="5">
        <v>1</v>
      </c>
      <c r="G13" s="5">
        <v>1.6258745305629705</v>
      </c>
      <c r="H13" s="5">
        <v>4.3541719605327343</v>
      </c>
      <c r="I13" s="5">
        <v>226.08366462807001</v>
      </c>
      <c r="J13" s="5">
        <v>246.36608989585901</v>
      </c>
      <c r="K13" s="5">
        <v>3.3492947103959301E-3</v>
      </c>
      <c r="L13" s="5">
        <v>478.14848275515902</v>
      </c>
      <c r="M13" s="5">
        <v>679.23333333333335</v>
      </c>
    </row>
    <row r="17" spans="1:11" ht="15.75">
      <c r="E17" s="6" t="s">
        <v>112</v>
      </c>
      <c r="F17" s="7">
        <f>(GETPIVOTDATA("Average Across Replications",$AA$2,"Project Name","Unnamed Project","Name","Contadortipo1","Type","Count","Source","User Specified")-GETPIVOTDATA("Half-Width",$AA$2,"Project Name","Unnamed Project","Name","Contadortipo1","Type","Count","Source","User Specified"))/480</f>
        <v>0.42356669668867447</v>
      </c>
      <c r="G17" s="7">
        <f>(GETPIVOTDATA("Average Across Replications",$AA$2,"Project Name","Unnamed Project","Name","Contadortipo1","Type","Count","Source","User Specified")+GETPIVOTDATA("Half-Width",$AA$2,"Project Name","Unnamed Project","Name","Contadortipo1","Type","Count","Source","User Specified"))/480</f>
        <v>0.44907219220021444</v>
      </c>
      <c r="I17" s="6" t="s">
        <v>115</v>
      </c>
      <c r="J17" s="7">
        <f>GETPIVOTDATA("Average Of Replication Averages",$O$2,"Project Name","Unnamed Project","Name","rCajero","Type","Instantaneous Utilization","Source","Resource")-GETPIVOTDATA("Half-Width",$O$2,"Project Name","Unnamed Project","Name","rCajero","Type","Instantaneous Utilization","Source","Resource")</f>
        <v>0.84193271145951332</v>
      </c>
      <c r="K17" s="7">
        <f>GETPIVOTDATA("Average Of Replication Averages",$O$2,"Project Name","Unnamed Project","Name","rCajero","Type","Instantaneous Utilization","Source","Resource")+GETPIVOTDATA("Half-Width",$O$2,"Project Name","Unnamed Project","Name","rCajero","Type","Instantaneous Utilization","Source","Resource")</f>
        <v>0.86415241667309661</v>
      </c>
    </row>
    <row r="18" spans="1:11" ht="15.75">
      <c r="A18" s="6" t="s">
        <v>117</v>
      </c>
      <c r="B18" s="7">
        <f>GETPIVOTDATA("Average Of Replication Averages",$A$2,"Project Name","Unnamed Project","Name","TiempoSistema","Type","Expression","Source","User Specified")-GETPIVOTDATA("Half-Width",$A$2,"Project Name","Unnamed Project","Name","TiempoSistema","Type","Expression","Source","User Specified")</f>
        <v>236.41777255618658</v>
      </c>
      <c r="C18" s="7">
        <f>GETPIVOTDATA("Average Of Replication Averages",$A$2,"Project Name","Unnamed Project","Name","TiempoSistema","Type","Expression","Source","User Specified")+GETPIVOTDATA("Half-Width",$A$2,"Project Name","Unnamed Project","Name","TiempoSistema","Type","Expression","Source","User Specified")</f>
        <v>239.66952161731254</v>
      </c>
    </row>
    <row r="20" spans="1:11" ht="15.75">
      <c r="E20" s="6" t="s">
        <v>113</v>
      </c>
      <c r="F20" s="7">
        <f>(GETPIVOTDATA("Average Across Replications",$AA$2,"Project Name","Unnamed Project","Name","Contadortipo2","Type","Count","Source","User Specified")-GETPIVOTDATA("Half-Width",$AA$2,"Project Name","Unnamed Project","Name","Contadortipo2","Type","Count","Source","User Specified"))/480</f>
        <v>0.20313437459358227</v>
      </c>
      <c r="G20" s="7">
        <f>(GETPIVOTDATA("Average Across Replications",$AA$2,"Project Name","Unnamed Project","Name","Contadortipo2","Type","Count","Source","User Specified")+GETPIVOTDATA("Half-Width",$AA$2,"Project Name","Unnamed Project","Name","Contadortipo2","Type","Count","Source","User Specified"))/480</f>
        <v>0.21686562540641771</v>
      </c>
      <c r="I20" s="6" t="s">
        <v>116</v>
      </c>
      <c r="J20" s="7">
        <f>GETPIVOTDATA("Average Of Replication Averages",$O$2,"Project Name","Unnamed Project","Name","rchef","Type","Instantaneous Utilization","Source","Resource")-GETPIVOTDATA("Half-Width",$O$2,"Project Name","Unnamed Project","Name","rchef","Type","Instantaneous Utilization","Source","Resource")</f>
        <v>0.67245928388886</v>
      </c>
      <c r="K20" s="7">
        <f>GETPIVOTDATA("Average Of Replication Averages",$O$2,"Project Name","Unnamed Project","Name","rchef","Type","Instantaneous Utilization","Source","Resource")+GETPIVOTDATA("Half-Width",$O$2,"Project Name","Unnamed Project","Name","rchef","Type","Instantaneous Utilization","Source","Resource")</f>
        <v>0.6914489483191476</v>
      </c>
    </row>
    <row r="21" spans="1:11" ht="15.75">
      <c r="A21" s="6" t="s">
        <v>118</v>
      </c>
      <c r="B21" s="7">
        <f>GETPIVOTDATA("Average Of Replication Averages",$A$2,"Project Name","Unnamed Project","Name","TiempoEspera","Type","Expression","Source","User Specified")-GETPIVOTDATA("Half-Width",$A$2,"Project Name","Unnamed Project","Name","TiempoEspera","Type","Expression","Source","User Specified")</f>
        <v>1.4110323818357946</v>
      </c>
      <c r="C21" s="7">
        <f>GETPIVOTDATA("Average Of Replication Averages",$A$2,"Project Name","Unnamed Project","Name","TiempoEspera","Type","Expression","Source","User Specified")+GETPIVOTDATA("Half-Width",$A$2,"Project Name","Unnamed Project","Name","TiempoEspera","Type","Expression","Source","User Specified")</f>
        <v>1.7920721221173568</v>
      </c>
    </row>
    <row r="23" spans="1:11" ht="15.75">
      <c r="E23" s="6" t="s">
        <v>114</v>
      </c>
      <c r="F23" s="7">
        <f>(GETPIVOTDATA("Average Across Replications",$AA$2,"Project Name","Unnamed Project","Name","Contadortipo3","Type","Count","Source","User Specified")-GETPIVOTDATA("Half-Width",$AA$2,"Project Name","Unnamed Project","Name","Contadortipo3","Type","Count","Source","User Specified"))/480</f>
        <v>0.75587297629621364</v>
      </c>
      <c r="G23" s="7">
        <f>(GETPIVOTDATA("Average Across Replications",$AA$2,"Project Name","Unnamed Project","Name","Contadortipo3","Type","Count","Source","User Specified")+GETPIVOTDATA("Half-Width",$AA$2,"Project Name","Unnamed Project","Name","Contadortipo3","Type","Count","Source","User Specified"))/480</f>
        <v>0.78162702370378634</v>
      </c>
    </row>
    <row r="24" spans="1:11" ht="18">
      <c r="A24" s="6" t="s">
        <v>119</v>
      </c>
      <c r="B24" s="7">
        <f>GETPIVOTDATA("Average Of Replication Averages",$A$2,"Project Name","Unnamed Project","Name","Probabilidadmayor5","Type","Expression","Source","User Specified")-GETPIVOTDATA("Half-Width",$A$2,"Project Name","Unnamed Project","Name","Probabilidadmayor5","Type","Expression","Source","User Specified")</f>
        <v>3.6624013804499228E-2</v>
      </c>
      <c r="C24" s="7">
        <f>GETPIVOTDATA("Average Of Replication Averages",$A$2,"Project Name","Unnamed Project","Name","Probabilidadmayor5","Type","Expression","Source","User Specified")+GETPIVOTDATA("Half-Width",$A$2,"Project Name","Unnamed Project","Name","Probabilidadmayor5","Type","Expression","Source","User Specified")</f>
        <v>8.0981568996791153E-2</v>
      </c>
    </row>
  </sheetData>
  <dataConsolidate/>
  <conditionalFormatting pivot="1" sqref="G3:G13">
    <cfRule type="expression" dxfId="31" priority="14">
      <formula>G3=200000000000000000000</formula>
    </cfRule>
  </conditionalFormatting>
  <conditionalFormatting pivot="1" sqref="T3:T11">
    <cfRule type="expression" dxfId="30" priority="13">
      <formula>T3=200000000000000000000</formula>
    </cfRule>
  </conditionalFormatting>
  <conditionalFormatting pivot="1" sqref="T3:T11">
    <cfRule type="expression" dxfId="29" priority="12">
      <formula>T3=300000000000000000000</formula>
    </cfRule>
  </conditionalFormatting>
  <conditionalFormatting pivot="1" sqref="G3:G13">
    <cfRule type="expression" dxfId="28" priority="11">
      <formula>G3=300000000000000000000</formula>
    </cfRule>
  </conditionalFormatting>
  <conditionalFormatting pivot="1" sqref="F3:F13">
    <cfRule type="expression" dxfId="27" priority="10">
      <formula>F3=0</formula>
    </cfRule>
  </conditionalFormatting>
  <conditionalFormatting pivot="1" sqref="F3:F13">
    <cfRule type="expression" dxfId="26" priority="9">
      <formula>F3=1</formula>
    </cfRule>
  </conditionalFormatting>
  <conditionalFormatting pivot="1" sqref="T3:T11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:AF5">
    <cfRule type="expression" dxfId="23" priority="6">
      <formula>AF3=400000000000000000000</formula>
    </cfRule>
  </conditionalFormatting>
  <conditionalFormatting pivot="1" sqref="G3:G13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31"/>
  <sheetViews>
    <sheetView workbookViewId="0">
      <selection activeCell="A2" sqref="A2:K61"/>
    </sheetView>
  </sheetViews>
  <sheetFormatPr defaultRowHeight="15"/>
  <cols>
    <col min="1" max="1" width="16.42578125" bestFit="1" customWidth="1"/>
    <col min="2" max="2" width="22.28515625" bestFit="1" customWidth="1"/>
    <col min="3" max="3" width="13.28515625" bestFit="1" customWidth="1"/>
    <col min="4" max="4" width="21.140625" bestFit="1" customWidth="1"/>
    <col min="5" max="5" width="13.285156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8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0</v>
      </c>
      <c r="I2">
        <v>0</v>
      </c>
      <c r="J2">
        <v>0</v>
      </c>
      <c r="K2">
        <v>703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0</v>
      </c>
      <c r="I3">
        <v>0</v>
      </c>
      <c r="J3">
        <v>0</v>
      </c>
      <c r="K3">
        <v>703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>
      <c r="A4" t="s">
        <v>67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3.8476697261846202</v>
      </c>
      <c r="H4">
        <v>0.54336271871439901</v>
      </c>
      <c r="I4">
        <v>1.2264829288196599</v>
      </c>
      <c r="J4">
        <v>9.8522899010388905</v>
      </c>
      <c r="K4">
        <v>703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3.7661591772463892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0.50768660989189007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4" cm="1">
        <f t="array" ref="R4">MIN(IF((DiscreteStatsTable[GroupByKey]=DiscreteStatsTable[[#This Row],[GroupByKey]]),(DiscreteStatsTable[GroupByKey]=DiscreteStatsTable[[#This Row],[GroupByKey]])*DiscreteStatsTable[Average]))</f>
        <v>3.05178888852276</v>
      </c>
      <c r="S4" cm="1">
        <f t="array" ref="S4">MAX(IF((DiscreteStatsTable[GroupByKey]=DiscreteStatsTable[[#This Row],[GroupByKey]]),(DiscreteStatsTable[GroupByKey]=DiscreteStatsTable[[#This Row],[GroupByKey]])*DiscreteStatsTable[Average]))</f>
        <v>5.4245064283989102</v>
      </c>
      <c r="T4" cm="1">
        <f t="array" ref="T4">MIN(IF((DiscreteStatsTable[GroupByKey]=DiscreteStatsTable[[#This Row],[GroupByKey]]),(DiscreteStatsTable[GroupByKey]=DiscreteStatsTable[[#This Row],[GroupByKey]])*DiscreteStatsTable[Minimum]))</f>
        <v>1.1021083273538601</v>
      </c>
      <c r="U4" cm="1">
        <f t="array" ref="U4">MAX(IF((DiscreteStatsTable[GroupByKey]=DiscreteStatsTable[[#This Row],[GroupByKey]]),(DiscreteStatsTable[GroupByKey]=DiscreteStatsTable[[#This Row],[GroupByKey]])*DiscreteStatsTable[Maximum]))</f>
        <v>16.799531229886998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">
        <f>IF((DiscreteStatsTable[[#This Row],[RepsRequested]]&gt;1),DiscreteStatsTable[[#This Row],[HalfWidth]],DiscreteStatsTable[[#This Row],[BatchMeansHalfWidth]])</f>
        <v>0.18957329568354728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>
      <c r="A5" t="s">
        <v>67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0</v>
      </c>
      <c r="I5">
        <v>0</v>
      </c>
      <c r="J5">
        <v>0</v>
      </c>
      <c r="K5">
        <v>703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>
      <c r="A6" t="s">
        <v>67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2.1781067097470199</v>
      </c>
      <c r="H6">
        <v>3.0125070233836301E-2</v>
      </c>
      <c r="I6">
        <v>1.14885672578993</v>
      </c>
      <c r="J6">
        <v>2.93930891832707</v>
      </c>
      <c r="K6">
        <v>703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2.1646069252698128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2.1409329879735002</v>
      </c>
      <c r="S6" cm="1">
        <f t="array" ref="S6">MAX(IF((DiscreteStatsTable[GroupByKey]=DiscreteStatsTable[[#This Row],[GroupByKey]]),(DiscreteStatsTable[GroupByKey]=DiscreteStatsTable[[#This Row],[GroupByKey]])*DiscreteStatsTable[Average]))</f>
        <v>2.2049521112294199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1.02131826584019</v>
      </c>
      <c r="U6" cm="1">
        <f t="array" ref="U6">MAX(IF((DiscreteStatsTable[GroupByKey]=DiscreteStatsTable[[#This Row],[GroupByKey]]),(DiscreteStatsTable[GroupByKey]=DiscreteStatsTable[[#This Row],[GroupByKey]])*DiscreteStatsTable[Maximum]))</f>
        <v>3.1565601386708799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">
        <f>IF((DiscreteStatsTable[[#This Row],[RepsRequested]]&gt;1),DiscreteStatsTable[[#This Row],[HalfWidth]],DiscreteStatsTable[[#This Row],[BatchMeansHalfWidth]])</f>
        <v>5.4874180230031506E-3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>
      <c r="A7" t="s">
        <v>67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1.6695630164376001</v>
      </c>
      <c r="H7">
        <v>3E+20</v>
      </c>
      <c r="I7">
        <v>0</v>
      </c>
      <c r="J7">
        <v>7.6149543765270096</v>
      </c>
      <c r="K7">
        <v>703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1.6015522519765757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0.51022158284507146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0.89357558090575995</v>
      </c>
      <c r="S7" cm="1">
        <f t="array" ref="S7">MAX(IF((DiscreteStatsTable[GroupByKey]=DiscreteStatsTable[[#This Row],[GroupByKey]]),(DiscreteStatsTable[GroupByKey]=DiscreteStatsTable[[#This Row],[GroupByKey]])*DiscreteStatsTable[Average]))</f>
        <v>3.2802088127851201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14.282258531030999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">
        <f>IF((DiscreteStatsTable[[#This Row],[RepsRequested]]&gt;1),DiscreteStatsTable[[#This Row],[HalfWidth]],DiscreteStatsTable[[#This Row],[BatchMeansHalfWidth]])</f>
        <v>0.19051987014078101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>
      <c r="A8" t="s">
        <v>67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0</v>
      </c>
      <c r="H8">
        <v>0</v>
      </c>
      <c r="I8">
        <v>0</v>
      </c>
      <c r="J8">
        <v>0</v>
      </c>
      <c r="K8">
        <v>679</v>
      </c>
      <c r="L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>
      <c r="A9" t="s">
        <v>67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0</v>
      </c>
      <c r="H9">
        <v>0</v>
      </c>
      <c r="I9">
        <v>0</v>
      </c>
      <c r="J9">
        <v>0</v>
      </c>
      <c r="K9">
        <v>679</v>
      </c>
      <c r="L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>
      <c r="A10" t="s">
        <v>67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3.4852746166621502</v>
      </c>
      <c r="H10">
        <v>0.322023142201112</v>
      </c>
      <c r="I10">
        <v>1.3155915913940199</v>
      </c>
      <c r="J10">
        <v>6.9459595733874604</v>
      </c>
      <c r="K10">
        <v>679</v>
      </c>
      <c r="L1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3.7661591772463892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3.05178888852276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5.4245064283989102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1.1021083273538601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16.799531229886998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">
        <f>IF((DiscreteStatsTable[[#This Row],[RepsRequested]]&gt;1),DiscreteStatsTable[[#This Row],[HalfWidth]],DiscreteStatsTable[[#This Row],[BatchMeansHalfWidth]])</f>
        <v>0.18957329568354728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>
      <c r="A11" t="s">
        <v>67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0</v>
      </c>
      <c r="H11">
        <v>0</v>
      </c>
      <c r="I11">
        <v>0</v>
      </c>
      <c r="J11">
        <v>0</v>
      </c>
      <c r="K11">
        <v>679</v>
      </c>
      <c r="L1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>
      <c r="A12" t="s">
        <v>67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2.1840289203925098</v>
      </c>
      <c r="H12">
        <v>3E+20</v>
      </c>
      <c r="I12">
        <v>1.18907492583799</v>
      </c>
      <c r="J12">
        <v>2.9204596605989699</v>
      </c>
      <c r="K12">
        <v>679</v>
      </c>
      <c r="L1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2.1646069252698128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2.1409329879735002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2.2049521112294199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1.02131826584019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3.1565601386708799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">
        <f>IF((DiscreteStatsTable[[#This Row],[RepsRequested]]&gt;1),DiscreteStatsTable[[#This Row],[HalfWidth]],DiscreteStatsTable[[#This Row],[BatchMeansHalfWidth]])</f>
        <v>5.4874180230031506E-3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>
      <c r="A13" t="s">
        <v>67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1.3012456962696299</v>
      </c>
      <c r="H13">
        <v>0.32382189161082597</v>
      </c>
      <c r="I13">
        <v>0</v>
      </c>
      <c r="J13">
        <v>4.5671924774518704</v>
      </c>
      <c r="K13">
        <v>679</v>
      </c>
      <c r="L1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1.6015522519765757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0.89357558090575995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3.2802088127851201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14.282258531030999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">
        <f>IF((DiscreteStatsTable[[#This Row],[RepsRequested]]&gt;1),DiscreteStatsTable[[#This Row],[HalfWidth]],DiscreteStatsTable[[#This Row],[BatchMeansHalfWidth]])</f>
        <v>0.19051987014078101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>
      <c r="A14" t="s">
        <v>67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0</v>
      </c>
      <c r="H14">
        <v>0</v>
      </c>
      <c r="I14">
        <v>0</v>
      </c>
      <c r="J14">
        <v>0</v>
      </c>
      <c r="K14">
        <v>659</v>
      </c>
      <c r="L1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>
      <c r="A15" t="s">
        <v>67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0</v>
      </c>
      <c r="H15">
        <v>0</v>
      </c>
      <c r="I15">
        <v>0</v>
      </c>
      <c r="J15">
        <v>0</v>
      </c>
      <c r="K15">
        <v>659</v>
      </c>
      <c r="L1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>
      <c r="A16" t="s">
        <v>67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3.8582394109873799</v>
      </c>
      <c r="H16">
        <v>0.78414802980325304</v>
      </c>
      <c r="I16">
        <v>1.2774691588169</v>
      </c>
      <c r="J16">
        <v>10.9051308786026</v>
      </c>
      <c r="K16">
        <v>659</v>
      </c>
      <c r="L1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3.7661591772463892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3.05178888852276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5.4245064283989102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1.1021083273538601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16.799531229886998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">
        <f>IF((DiscreteStatsTable[[#This Row],[RepsRequested]]&gt;1),DiscreteStatsTable[[#This Row],[HalfWidth]],DiscreteStatsTable[[#This Row],[BatchMeansHalfWidth]])</f>
        <v>0.18957329568354728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>
      <c r="A17" t="s">
        <v>67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0</v>
      </c>
      <c r="H17">
        <v>0</v>
      </c>
      <c r="I17">
        <v>0</v>
      </c>
      <c r="J17">
        <v>0</v>
      </c>
      <c r="K17">
        <v>659</v>
      </c>
      <c r="L1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>
      <c r="A18" t="s">
        <v>67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2.2049521112294199</v>
      </c>
      <c r="H18">
        <v>2.87360743711788E-2</v>
      </c>
      <c r="I18">
        <v>1.25600591849565</v>
      </c>
      <c r="J18">
        <v>2.9203886395243801</v>
      </c>
      <c r="K18">
        <v>659</v>
      </c>
      <c r="L1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2.1646069252698128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2.1409329879735002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2.2049521112294199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1.02131826584019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3.1565601386708799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8">
        <f>IF((DiscreteStatsTable[[#This Row],[RepsRequested]]&gt;1),DiscreteStatsTable[[#This Row],[HalfWidth]],DiscreteStatsTable[[#This Row],[BatchMeansHalfWidth]])</f>
        <v>5.4874180230031506E-3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>
      <c r="A19" t="s">
        <v>67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1.65328729975796</v>
      </c>
      <c r="H19">
        <v>0.77897390127316302</v>
      </c>
      <c r="I19">
        <v>0</v>
      </c>
      <c r="J19">
        <v>8.9310640927880591</v>
      </c>
      <c r="K19">
        <v>659</v>
      </c>
      <c r="L1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1.6015522519765757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0.89357558090575995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3.2802088127851201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14.282258531030999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9">
        <f>IF((DiscreteStatsTable[[#This Row],[RepsRequested]]&gt;1),DiscreteStatsTable[[#This Row],[HalfWidth]],DiscreteStatsTable[[#This Row],[BatchMeansHalfWidth]])</f>
        <v>0.19051987014078101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>
      <c r="A20" t="s">
        <v>67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0</v>
      </c>
      <c r="H20">
        <v>0</v>
      </c>
      <c r="I20">
        <v>0</v>
      </c>
      <c r="J20">
        <v>0</v>
      </c>
      <c r="K20">
        <v>696</v>
      </c>
      <c r="L2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>
      <c r="A21" t="s">
        <v>67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0</v>
      </c>
      <c r="H21">
        <v>0</v>
      </c>
      <c r="I21">
        <v>0</v>
      </c>
      <c r="J21">
        <v>0</v>
      </c>
      <c r="K21">
        <v>696</v>
      </c>
      <c r="L2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>
      <c r="A22" t="s">
        <v>67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3.88638673435221</v>
      </c>
      <c r="H22">
        <v>0.75328477860946697</v>
      </c>
      <c r="I22">
        <v>1.26846992838566</v>
      </c>
      <c r="J22">
        <v>11.303731144845401</v>
      </c>
      <c r="K22">
        <v>696</v>
      </c>
      <c r="L2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3.7661591772463892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0.50768660989189007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3.05178888852276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5.4245064283989102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1.1021083273538601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16.799531229886998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2">
        <f>IF((DiscreteStatsTable[[#This Row],[RepsRequested]]&gt;1),DiscreteStatsTable[[#This Row],[HalfWidth]],DiscreteStatsTable[[#This Row],[BatchMeansHalfWidth]])</f>
        <v>0.18957329568354728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>
      <c r="A23" t="s">
        <v>67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0</v>
      </c>
      <c r="H23">
        <v>0</v>
      </c>
      <c r="I23">
        <v>0</v>
      </c>
      <c r="J23">
        <v>0</v>
      </c>
      <c r="K23">
        <v>696</v>
      </c>
      <c r="L2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>
      <c r="A24" t="s">
        <v>67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2.1749999424229398</v>
      </c>
      <c r="H24">
        <v>2.13128616976654E-2</v>
      </c>
      <c r="I24">
        <v>1.20052659656901</v>
      </c>
      <c r="J24">
        <v>3.0119185513004298</v>
      </c>
      <c r="K24">
        <v>696</v>
      </c>
      <c r="L2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2.1646069252698128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2.1409329879735002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2.2049521112294199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1.02131826584019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3.1565601386708799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4">
        <f>IF((DiscreteStatsTable[[#This Row],[RepsRequested]]&gt;1),DiscreteStatsTable[[#This Row],[HalfWidth]],DiscreteStatsTable[[#This Row],[BatchMeansHalfWidth]])</f>
        <v>5.4874180230031506E-3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>
      <c r="A25" t="s">
        <v>67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1.71138679192927</v>
      </c>
      <c r="H25">
        <v>0.75743768840846704</v>
      </c>
      <c r="I25">
        <v>0</v>
      </c>
      <c r="J25">
        <v>8.7457176495751394</v>
      </c>
      <c r="K25">
        <v>696</v>
      </c>
      <c r="L2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1.6015522519765757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0.89357558090575995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3.2802088127851201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14.282258531030999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">
        <f>IF((DiscreteStatsTable[[#This Row],[RepsRequested]]&gt;1),DiscreteStatsTable[[#This Row],[HalfWidth]],DiscreteStatsTable[[#This Row],[BatchMeansHalfWidth]])</f>
        <v>0.19051987014078101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>
      <c r="A26" t="s">
        <v>67</v>
      </c>
      <c r="B26" t="s">
        <v>70</v>
      </c>
      <c r="C26">
        <v>5</v>
      </c>
      <c r="D26" t="s">
        <v>71</v>
      </c>
      <c r="E26" t="s">
        <v>72</v>
      </c>
      <c r="F26" t="s">
        <v>73</v>
      </c>
      <c r="G26">
        <v>0</v>
      </c>
      <c r="H26">
        <v>0</v>
      </c>
      <c r="I26">
        <v>0</v>
      </c>
      <c r="J26">
        <v>0</v>
      </c>
      <c r="K26">
        <v>701</v>
      </c>
      <c r="L2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>
      <c r="A27" t="s">
        <v>67</v>
      </c>
      <c r="B27" t="s">
        <v>70</v>
      </c>
      <c r="C27">
        <v>5</v>
      </c>
      <c r="D27" t="s">
        <v>71</v>
      </c>
      <c r="E27" t="s">
        <v>74</v>
      </c>
      <c r="F27" t="s">
        <v>73</v>
      </c>
      <c r="G27">
        <v>0</v>
      </c>
      <c r="H27">
        <v>0</v>
      </c>
      <c r="I27">
        <v>0</v>
      </c>
      <c r="J27">
        <v>0</v>
      </c>
      <c r="K27">
        <v>701</v>
      </c>
      <c r="L2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>
      <c r="A28" t="s">
        <v>67</v>
      </c>
      <c r="B28" t="s">
        <v>70</v>
      </c>
      <c r="C28">
        <v>5</v>
      </c>
      <c r="D28" t="s">
        <v>71</v>
      </c>
      <c r="E28" t="s">
        <v>75</v>
      </c>
      <c r="F28" t="s">
        <v>73</v>
      </c>
      <c r="G28">
        <v>3.6581202521182998</v>
      </c>
      <c r="H28">
        <v>3E+20</v>
      </c>
      <c r="I28">
        <v>1.3203989248527801</v>
      </c>
      <c r="J28">
        <v>9.1428210334010505</v>
      </c>
      <c r="K28">
        <v>701</v>
      </c>
      <c r="L2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3.7661591772463892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0.50768660989189007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3.05178888852276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5.4245064283989102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1.1021083273538601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16.799531229886998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">
        <f>IF((DiscreteStatsTable[[#This Row],[RepsRequested]]&gt;1),DiscreteStatsTable[[#This Row],[HalfWidth]],DiscreteStatsTable[[#This Row],[BatchMeansHalfWidth]])</f>
        <v>0.18957329568354728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>
      <c r="A29" t="s">
        <v>67</v>
      </c>
      <c r="B29" t="s">
        <v>70</v>
      </c>
      <c r="C29">
        <v>5</v>
      </c>
      <c r="D29" t="s">
        <v>71</v>
      </c>
      <c r="E29" t="s">
        <v>76</v>
      </c>
      <c r="F29" t="s">
        <v>73</v>
      </c>
      <c r="G29">
        <v>0</v>
      </c>
      <c r="H29">
        <v>0</v>
      </c>
      <c r="I29">
        <v>0</v>
      </c>
      <c r="J29">
        <v>0</v>
      </c>
      <c r="K29">
        <v>701</v>
      </c>
      <c r="L2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>
      <c r="A30" t="s">
        <v>67</v>
      </c>
      <c r="B30" t="s">
        <v>70</v>
      </c>
      <c r="C30">
        <v>5</v>
      </c>
      <c r="D30" t="s">
        <v>71</v>
      </c>
      <c r="E30" t="s">
        <v>77</v>
      </c>
      <c r="F30" t="s">
        <v>73</v>
      </c>
      <c r="G30">
        <v>2.1466672168973902</v>
      </c>
      <c r="H30">
        <v>3E+20</v>
      </c>
      <c r="I30">
        <v>1.1608302416669301</v>
      </c>
      <c r="J30">
        <v>2.9852504676643399</v>
      </c>
      <c r="K30">
        <v>701</v>
      </c>
      <c r="L3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2.1646069252698128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2.1409329879735002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2.2049521112294199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1.02131826584019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3.1565601386708799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">
        <f>IF((DiscreteStatsTable[[#This Row],[RepsRequested]]&gt;1),DiscreteStatsTable[[#This Row],[HalfWidth]],DiscreteStatsTable[[#This Row],[BatchMeansHalfWidth]])</f>
        <v>5.4874180230031506E-3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>
      <c r="A31" t="s">
        <v>67</v>
      </c>
      <c r="B31" t="s">
        <v>70</v>
      </c>
      <c r="C31">
        <v>5</v>
      </c>
      <c r="D31" t="s">
        <v>71</v>
      </c>
      <c r="E31" t="s">
        <v>78</v>
      </c>
      <c r="F31" t="s">
        <v>73</v>
      </c>
      <c r="G31">
        <v>1.5114530352209099</v>
      </c>
      <c r="H31">
        <v>0.49557086139269102</v>
      </c>
      <c r="I31">
        <v>0</v>
      </c>
      <c r="J31">
        <v>6.88793206282645</v>
      </c>
      <c r="K31">
        <v>701</v>
      </c>
      <c r="L3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1.6015522519765757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0.51022158284507146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0.89357558090575995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3.2802088127851201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14.282258531030999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">
        <f>IF((DiscreteStatsTable[[#This Row],[RepsRequested]]&gt;1),DiscreteStatsTable[[#This Row],[HalfWidth]],DiscreteStatsTable[[#This Row],[BatchMeansHalfWidth]])</f>
        <v>0.19051987014078101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>
      <c r="A32" t="s">
        <v>67</v>
      </c>
      <c r="B32" t="s">
        <v>70</v>
      </c>
      <c r="C32">
        <v>6</v>
      </c>
      <c r="D32" t="s">
        <v>71</v>
      </c>
      <c r="E32" t="s">
        <v>72</v>
      </c>
      <c r="F32" t="s">
        <v>73</v>
      </c>
      <c r="G32">
        <v>0</v>
      </c>
      <c r="H32">
        <v>0</v>
      </c>
      <c r="I32">
        <v>0</v>
      </c>
      <c r="J32">
        <v>0</v>
      </c>
      <c r="K32">
        <v>658</v>
      </c>
      <c r="L3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>
      <c r="A33" t="s">
        <v>67</v>
      </c>
      <c r="B33" t="s">
        <v>70</v>
      </c>
      <c r="C33">
        <v>6</v>
      </c>
      <c r="D33" t="s">
        <v>71</v>
      </c>
      <c r="E33" t="s">
        <v>74</v>
      </c>
      <c r="F33" t="s">
        <v>73</v>
      </c>
      <c r="G33">
        <v>0</v>
      </c>
      <c r="H33">
        <v>0</v>
      </c>
      <c r="I33">
        <v>0</v>
      </c>
      <c r="J33">
        <v>0</v>
      </c>
      <c r="K33">
        <v>658</v>
      </c>
      <c r="L3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>
      <c r="A34" t="s">
        <v>67</v>
      </c>
      <c r="B34" t="s">
        <v>70</v>
      </c>
      <c r="C34">
        <v>6</v>
      </c>
      <c r="D34" t="s">
        <v>71</v>
      </c>
      <c r="E34" t="s">
        <v>75</v>
      </c>
      <c r="F34" t="s">
        <v>73</v>
      </c>
      <c r="G34">
        <v>3.42203015126195</v>
      </c>
      <c r="H34">
        <v>0.69936470576652998</v>
      </c>
      <c r="I34">
        <v>1.3114833833141999</v>
      </c>
      <c r="J34">
        <v>10.698837254194901</v>
      </c>
      <c r="K34">
        <v>658</v>
      </c>
      <c r="L3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3.7661591772463892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0.50768660989189007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3.05178888852276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5.4245064283989102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1.1021083273538601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16.799531229886998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4">
        <f>IF((DiscreteStatsTable[[#This Row],[RepsRequested]]&gt;1),DiscreteStatsTable[[#This Row],[HalfWidth]],DiscreteStatsTable[[#This Row],[BatchMeansHalfWidth]])</f>
        <v>0.18957329568354728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>
      <c r="A35" t="s">
        <v>67</v>
      </c>
      <c r="B35" t="s">
        <v>70</v>
      </c>
      <c r="C35">
        <v>6</v>
      </c>
      <c r="D35" t="s">
        <v>71</v>
      </c>
      <c r="E35" t="s">
        <v>76</v>
      </c>
      <c r="F35" t="s">
        <v>73</v>
      </c>
      <c r="G35">
        <v>0</v>
      </c>
      <c r="H35">
        <v>0</v>
      </c>
      <c r="I35">
        <v>0</v>
      </c>
      <c r="J35">
        <v>0</v>
      </c>
      <c r="K35">
        <v>658</v>
      </c>
      <c r="L3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>
      <c r="A36" t="s">
        <v>67</v>
      </c>
      <c r="B36" t="s">
        <v>70</v>
      </c>
      <c r="C36">
        <v>6</v>
      </c>
      <c r="D36" t="s">
        <v>71</v>
      </c>
      <c r="E36" t="s">
        <v>77</v>
      </c>
      <c r="F36" t="s">
        <v>73</v>
      </c>
      <c r="G36">
        <v>2.16189409577238</v>
      </c>
      <c r="H36">
        <v>3.6081631888233198E-2</v>
      </c>
      <c r="I36">
        <v>1.0704910044334699</v>
      </c>
      <c r="J36">
        <v>2.8864385083381001</v>
      </c>
      <c r="K36">
        <v>658</v>
      </c>
      <c r="L3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2.1646069252698128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2.1409329879735002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2.2049521112294199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1.02131826584019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3.1565601386708799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6">
        <f>IF((DiscreteStatsTable[[#This Row],[RepsRequested]]&gt;1),DiscreteStatsTable[[#This Row],[HalfWidth]],DiscreteStatsTable[[#This Row],[BatchMeansHalfWidth]])</f>
        <v>5.4874180230031506E-3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>
      <c r="A37" t="s">
        <v>67</v>
      </c>
      <c r="B37" t="s">
        <v>70</v>
      </c>
      <c r="C37">
        <v>6</v>
      </c>
      <c r="D37" t="s">
        <v>71</v>
      </c>
      <c r="E37" t="s">
        <v>78</v>
      </c>
      <c r="F37" t="s">
        <v>73</v>
      </c>
      <c r="G37">
        <v>1.26013605548956</v>
      </c>
      <c r="H37">
        <v>0.70154762975862495</v>
      </c>
      <c r="I37">
        <v>0</v>
      </c>
      <c r="J37">
        <v>8.6383385086734794</v>
      </c>
      <c r="K37">
        <v>658</v>
      </c>
      <c r="L3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1.6015522519765757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0.51022158284507146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0.89357558090575995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3.2802088127851201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14.282258531030999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7">
        <f>IF((DiscreteStatsTable[[#This Row],[RepsRequested]]&gt;1),DiscreteStatsTable[[#This Row],[HalfWidth]],DiscreteStatsTable[[#This Row],[BatchMeansHalfWidth]])</f>
        <v>0.19051987014078101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>
      <c r="A38" t="s">
        <v>67</v>
      </c>
      <c r="B38" t="s">
        <v>70</v>
      </c>
      <c r="C38">
        <v>7</v>
      </c>
      <c r="D38" t="s">
        <v>71</v>
      </c>
      <c r="E38" t="s">
        <v>72</v>
      </c>
      <c r="F38" t="s">
        <v>73</v>
      </c>
      <c r="G38">
        <v>0</v>
      </c>
      <c r="H38">
        <v>0</v>
      </c>
      <c r="I38">
        <v>0</v>
      </c>
      <c r="J38">
        <v>0</v>
      </c>
      <c r="K38">
        <v>707</v>
      </c>
      <c r="L3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>
      <c r="A39" t="s">
        <v>67</v>
      </c>
      <c r="B39" t="s">
        <v>70</v>
      </c>
      <c r="C39">
        <v>7</v>
      </c>
      <c r="D39" t="s">
        <v>71</v>
      </c>
      <c r="E39" t="s">
        <v>74</v>
      </c>
      <c r="F39" t="s">
        <v>73</v>
      </c>
      <c r="G39">
        <v>0</v>
      </c>
      <c r="H39">
        <v>0</v>
      </c>
      <c r="I39">
        <v>0</v>
      </c>
      <c r="J39">
        <v>0</v>
      </c>
      <c r="K39">
        <v>707</v>
      </c>
      <c r="L3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>
      <c r="A40" t="s">
        <v>67</v>
      </c>
      <c r="B40" t="s">
        <v>70</v>
      </c>
      <c r="C40">
        <v>7</v>
      </c>
      <c r="D40" t="s">
        <v>71</v>
      </c>
      <c r="E40" t="s">
        <v>75</v>
      </c>
      <c r="F40" t="s">
        <v>73</v>
      </c>
      <c r="G40">
        <v>3.7955473734267802</v>
      </c>
      <c r="H40">
        <v>0.46470777952846998</v>
      </c>
      <c r="I40">
        <v>1.40491075454742</v>
      </c>
      <c r="J40">
        <v>9.1073927150757203</v>
      </c>
      <c r="K40">
        <v>707</v>
      </c>
      <c r="L4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3.7661591772463892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0.50768660989189007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3.05178888852276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5.4245064283989102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1.1021083273538601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16.799531229886998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0">
        <f>IF((DiscreteStatsTable[[#This Row],[RepsRequested]]&gt;1),DiscreteStatsTable[[#This Row],[HalfWidth]],DiscreteStatsTable[[#This Row],[BatchMeansHalfWidth]])</f>
        <v>0.18957329568354728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>
      <c r="A41" t="s">
        <v>67</v>
      </c>
      <c r="B41" t="s">
        <v>70</v>
      </c>
      <c r="C41">
        <v>7</v>
      </c>
      <c r="D41" t="s">
        <v>71</v>
      </c>
      <c r="E41" t="s">
        <v>76</v>
      </c>
      <c r="F41" t="s">
        <v>73</v>
      </c>
      <c r="G41">
        <v>0</v>
      </c>
      <c r="H41">
        <v>0</v>
      </c>
      <c r="I41">
        <v>0</v>
      </c>
      <c r="J41">
        <v>0</v>
      </c>
      <c r="K41">
        <v>707</v>
      </c>
      <c r="L4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>
      <c r="A42" t="s">
        <v>67</v>
      </c>
      <c r="B42" t="s">
        <v>70</v>
      </c>
      <c r="C42">
        <v>7</v>
      </c>
      <c r="D42" t="s">
        <v>71</v>
      </c>
      <c r="E42" t="s">
        <v>77</v>
      </c>
      <c r="F42" t="s">
        <v>73</v>
      </c>
      <c r="G42">
        <v>2.1470957740844998</v>
      </c>
      <c r="H42">
        <v>3.6723108501433697E-2</v>
      </c>
      <c r="I42">
        <v>1.1304242557216599</v>
      </c>
      <c r="J42">
        <v>3.0150656498228199</v>
      </c>
      <c r="K42">
        <v>707</v>
      </c>
      <c r="L4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2.1646069252698128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2.1409329879735002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2.2049521112294199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1.02131826584019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3.1565601386708799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2">
        <f>IF((DiscreteStatsTable[[#This Row],[RepsRequested]]&gt;1),DiscreteStatsTable[[#This Row],[HalfWidth]],DiscreteStatsTable[[#This Row],[BatchMeansHalfWidth]])</f>
        <v>5.4874180230031506E-3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>
      <c r="A43" t="s">
        <v>67</v>
      </c>
      <c r="B43" t="s">
        <v>70</v>
      </c>
      <c r="C43">
        <v>7</v>
      </c>
      <c r="D43" t="s">
        <v>71</v>
      </c>
      <c r="E43" t="s">
        <v>78</v>
      </c>
      <c r="F43" t="s">
        <v>73</v>
      </c>
      <c r="G43">
        <v>1.6484515993422799</v>
      </c>
      <c r="H43">
        <v>0.47244635769695398</v>
      </c>
      <c r="I43">
        <v>0</v>
      </c>
      <c r="J43">
        <v>6.4942548100423796</v>
      </c>
      <c r="K43">
        <v>707</v>
      </c>
      <c r="L4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1.6015522519765757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0.51022158284507146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0.89357558090575995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3.2802088127851201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14.282258531030999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3">
        <f>IF((DiscreteStatsTable[[#This Row],[RepsRequested]]&gt;1),DiscreteStatsTable[[#This Row],[HalfWidth]],DiscreteStatsTable[[#This Row],[BatchMeansHalfWidth]])</f>
        <v>0.19051987014078101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>
      <c r="A44" t="s">
        <v>67</v>
      </c>
      <c r="B44" t="s">
        <v>70</v>
      </c>
      <c r="C44">
        <v>8</v>
      </c>
      <c r="D44" t="s">
        <v>71</v>
      </c>
      <c r="E44" t="s">
        <v>72</v>
      </c>
      <c r="F44" t="s">
        <v>73</v>
      </c>
      <c r="G44">
        <v>0</v>
      </c>
      <c r="H44">
        <v>0</v>
      </c>
      <c r="I44">
        <v>0</v>
      </c>
      <c r="J44">
        <v>0</v>
      </c>
      <c r="K44">
        <v>662</v>
      </c>
      <c r="L4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>
      <c r="A45" t="s">
        <v>67</v>
      </c>
      <c r="B45" t="s">
        <v>70</v>
      </c>
      <c r="C45">
        <v>8</v>
      </c>
      <c r="D45" t="s">
        <v>71</v>
      </c>
      <c r="E45" t="s">
        <v>74</v>
      </c>
      <c r="F45" t="s">
        <v>73</v>
      </c>
      <c r="G45">
        <v>0</v>
      </c>
      <c r="H45">
        <v>0</v>
      </c>
      <c r="I45">
        <v>0</v>
      </c>
      <c r="J45">
        <v>0</v>
      </c>
      <c r="K45">
        <v>662</v>
      </c>
      <c r="L4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>
      <c r="A46" t="s">
        <v>67</v>
      </c>
      <c r="B46" t="s">
        <v>70</v>
      </c>
      <c r="C46">
        <v>8</v>
      </c>
      <c r="D46" t="s">
        <v>71</v>
      </c>
      <c r="E46" t="s">
        <v>75</v>
      </c>
      <c r="F46" t="s">
        <v>73</v>
      </c>
      <c r="G46">
        <v>3.5385766048917899</v>
      </c>
      <c r="H46">
        <v>0.54613874707105903</v>
      </c>
      <c r="I46">
        <v>1.2841779974576</v>
      </c>
      <c r="J46">
        <v>8.9749859724903693</v>
      </c>
      <c r="K46">
        <v>662</v>
      </c>
      <c r="L4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3.7661591772463892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0.50768660989189007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3.05178888852276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5.4245064283989102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1.1021083273538601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16.799531229886998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6">
        <f>IF((DiscreteStatsTable[[#This Row],[RepsRequested]]&gt;1),DiscreteStatsTable[[#This Row],[HalfWidth]],DiscreteStatsTable[[#This Row],[BatchMeansHalfWidth]])</f>
        <v>0.18957329568354728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>
      <c r="A47" t="s">
        <v>67</v>
      </c>
      <c r="B47" t="s">
        <v>70</v>
      </c>
      <c r="C47">
        <v>8</v>
      </c>
      <c r="D47" t="s">
        <v>71</v>
      </c>
      <c r="E47" t="s">
        <v>76</v>
      </c>
      <c r="F47" t="s">
        <v>73</v>
      </c>
      <c r="G47">
        <v>0</v>
      </c>
      <c r="H47">
        <v>0</v>
      </c>
      <c r="I47">
        <v>0</v>
      </c>
      <c r="J47">
        <v>0</v>
      </c>
      <c r="K47">
        <v>662</v>
      </c>
      <c r="L4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>
      <c r="A48" t="s">
        <v>67</v>
      </c>
      <c r="B48" t="s">
        <v>70</v>
      </c>
      <c r="C48">
        <v>8</v>
      </c>
      <c r="D48" t="s">
        <v>71</v>
      </c>
      <c r="E48" t="s">
        <v>77</v>
      </c>
      <c r="F48" t="s">
        <v>73</v>
      </c>
      <c r="G48">
        <v>2.1456352412188302</v>
      </c>
      <c r="H48">
        <v>3E+20</v>
      </c>
      <c r="I48">
        <v>1.1295482683492</v>
      </c>
      <c r="J48">
        <v>2.9367052731092298</v>
      </c>
      <c r="K48">
        <v>662</v>
      </c>
      <c r="L4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2.1646069252698128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2.1409329879735002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2.2049521112294199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1.02131826584019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3.1565601386708799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8">
        <f>IF((DiscreteStatsTable[[#This Row],[RepsRequested]]&gt;1),DiscreteStatsTable[[#This Row],[HalfWidth]],DiscreteStatsTable[[#This Row],[BatchMeansHalfWidth]])</f>
        <v>5.4874180230031506E-3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>
      <c r="A49" t="s">
        <v>67</v>
      </c>
      <c r="B49" t="s">
        <v>70</v>
      </c>
      <c r="C49">
        <v>8</v>
      </c>
      <c r="D49" t="s">
        <v>71</v>
      </c>
      <c r="E49" t="s">
        <v>78</v>
      </c>
      <c r="F49" t="s">
        <v>73</v>
      </c>
      <c r="G49">
        <v>1.39294136367296</v>
      </c>
      <c r="H49">
        <v>0.53743949150755699</v>
      </c>
      <c r="I49">
        <v>0</v>
      </c>
      <c r="J49">
        <v>6.4421888342566804</v>
      </c>
      <c r="K49">
        <v>662</v>
      </c>
      <c r="L4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1.6015522519765757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0.51022158284507146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0.89357558090575995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3.2802088127851201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14.282258531030999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49">
        <f>IF((DiscreteStatsTable[[#This Row],[RepsRequested]]&gt;1),DiscreteStatsTable[[#This Row],[HalfWidth]],DiscreteStatsTable[[#This Row],[BatchMeansHalfWidth]])</f>
        <v>0.19051987014078101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>
      <c r="A50" t="s">
        <v>67</v>
      </c>
      <c r="B50" t="s">
        <v>70</v>
      </c>
      <c r="C50">
        <v>9</v>
      </c>
      <c r="D50" t="s">
        <v>71</v>
      </c>
      <c r="E50" t="s">
        <v>72</v>
      </c>
      <c r="F50" t="s">
        <v>73</v>
      </c>
      <c r="G50">
        <v>0</v>
      </c>
      <c r="H50">
        <v>0</v>
      </c>
      <c r="I50">
        <v>0</v>
      </c>
      <c r="J50">
        <v>0</v>
      </c>
      <c r="K50">
        <v>649</v>
      </c>
      <c r="L5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>
      <c r="A51" t="s">
        <v>67</v>
      </c>
      <c r="B51" t="s">
        <v>70</v>
      </c>
      <c r="C51">
        <v>9</v>
      </c>
      <c r="D51" t="s">
        <v>71</v>
      </c>
      <c r="E51" t="s">
        <v>74</v>
      </c>
      <c r="F51" t="s">
        <v>73</v>
      </c>
      <c r="G51">
        <v>0</v>
      </c>
      <c r="H51">
        <v>0</v>
      </c>
      <c r="I51">
        <v>0</v>
      </c>
      <c r="J51">
        <v>0</v>
      </c>
      <c r="K51">
        <v>649</v>
      </c>
      <c r="L5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>
      <c r="A52" t="s">
        <v>67</v>
      </c>
      <c r="B52" t="s">
        <v>70</v>
      </c>
      <c r="C52">
        <v>9</v>
      </c>
      <c r="D52" t="s">
        <v>71</v>
      </c>
      <c r="E52" t="s">
        <v>75</v>
      </c>
      <c r="F52" t="s">
        <v>73</v>
      </c>
      <c r="G52">
        <v>3.1204018331866701</v>
      </c>
      <c r="H52">
        <v>3E+20</v>
      </c>
      <c r="I52">
        <v>1.2603406257532599</v>
      </c>
      <c r="J52">
        <v>7.24514094244525</v>
      </c>
      <c r="K52">
        <v>649</v>
      </c>
      <c r="L5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3.7661591772463892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0.50768660989189007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3.05178888852276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5.4245064283989102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1.1021083273538601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16.799531229886998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2">
        <f>IF((DiscreteStatsTable[[#This Row],[RepsRequested]]&gt;1),DiscreteStatsTable[[#This Row],[HalfWidth]],DiscreteStatsTable[[#This Row],[BatchMeansHalfWidth]])</f>
        <v>0.18957329568354728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>
      <c r="A53" t="s">
        <v>67</v>
      </c>
      <c r="B53" t="s">
        <v>70</v>
      </c>
      <c r="C53">
        <v>9</v>
      </c>
      <c r="D53" t="s">
        <v>71</v>
      </c>
      <c r="E53" t="s">
        <v>76</v>
      </c>
      <c r="F53" t="s">
        <v>73</v>
      </c>
      <c r="G53">
        <v>0</v>
      </c>
      <c r="H53">
        <v>0</v>
      </c>
      <c r="I53">
        <v>0</v>
      </c>
      <c r="J53">
        <v>0</v>
      </c>
      <c r="K53">
        <v>649</v>
      </c>
      <c r="L5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>
      <c r="A54" t="s">
        <v>67</v>
      </c>
      <c r="B54" t="s">
        <v>70</v>
      </c>
      <c r="C54">
        <v>9</v>
      </c>
      <c r="D54" t="s">
        <v>71</v>
      </c>
      <c r="E54" t="s">
        <v>77</v>
      </c>
      <c r="F54" t="s">
        <v>73</v>
      </c>
      <c r="G54">
        <v>2.1605835623317402</v>
      </c>
      <c r="H54">
        <v>2.0130922085614299E-2</v>
      </c>
      <c r="I54">
        <v>1.14884237812149</v>
      </c>
      <c r="J54">
        <v>2.9468939008226598</v>
      </c>
      <c r="K54">
        <v>649</v>
      </c>
      <c r="L5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2.1646069252698128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2.1409329879735002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2.2049521112294199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1.02131826584019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3.1565601386708799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4">
        <f>IF((DiscreteStatsTable[[#This Row],[RepsRequested]]&gt;1),DiscreteStatsTable[[#This Row],[HalfWidth]],DiscreteStatsTable[[#This Row],[BatchMeansHalfWidth]])</f>
        <v>5.4874180230031506E-3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>
      <c r="A55" t="s">
        <v>67</v>
      </c>
      <c r="B55" t="s">
        <v>70</v>
      </c>
      <c r="C55">
        <v>9</v>
      </c>
      <c r="D55" t="s">
        <v>71</v>
      </c>
      <c r="E55" t="s">
        <v>78</v>
      </c>
      <c r="F55" t="s">
        <v>73</v>
      </c>
      <c r="G55">
        <v>0.959818270854919</v>
      </c>
      <c r="H55">
        <v>3E+20</v>
      </c>
      <c r="I55">
        <v>0</v>
      </c>
      <c r="J55">
        <v>5.3239026399232898</v>
      </c>
      <c r="K55">
        <v>649</v>
      </c>
      <c r="L5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1.6015522519765757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0.51022158284507146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0.89357558090575995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3.2802088127851201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14.282258531030999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5">
        <f>IF((DiscreteStatsTable[[#This Row],[RepsRequested]]&gt;1),DiscreteStatsTable[[#This Row],[HalfWidth]],DiscreteStatsTable[[#This Row],[BatchMeansHalfWidth]])</f>
        <v>0.19051987014078101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>
      <c r="A56" t="s">
        <v>67</v>
      </c>
      <c r="B56" t="s">
        <v>70</v>
      </c>
      <c r="C56">
        <v>10</v>
      </c>
      <c r="D56" t="s">
        <v>71</v>
      </c>
      <c r="E56" t="s">
        <v>72</v>
      </c>
      <c r="F56" t="s">
        <v>73</v>
      </c>
      <c r="G56">
        <v>0</v>
      </c>
      <c r="H56">
        <v>0</v>
      </c>
      <c r="I56">
        <v>0</v>
      </c>
      <c r="J56">
        <v>0</v>
      </c>
      <c r="K56">
        <v>670</v>
      </c>
      <c r="L5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>
      <c r="A57" t="s">
        <v>67</v>
      </c>
      <c r="B57" t="s">
        <v>70</v>
      </c>
      <c r="C57">
        <v>10</v>
      </c>
      <c r="D57" t="s">
        <v>71</v>
      </c>
      <c r="E57" t="s">
        <v>74</v>
      </c>
      <c r="F57" t="s">
        <v>73</v>
      </c>
      <c r="G57">
        <v>0</v>
      </c>
      <c r="H57">
        <v>0</v>
      </c>
      <c r="I57">
        <v>0</v>
      </c>
      <c r="J57">
        <v>0</v>
      </c>
      <c r="K57">
        <v>670</v>
      </c>
      <c r="L5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>
      <c r="A58" t="s">
        <v>67</v>
      </c>
      <c r="B58" t="s">
        <v>70</v>
      </c>
      <c r="C58">
        <v>10</v>
      </c>
      <c r="D58" t="s">
        <v>71</v>
      </c>
      <c r="E58" t="s">
        <v>75</v>
      </c>
      <c r="F58" t="s">
        <v>73</v>
      </c>
      <c r="G58">
        <v>3.1083671363946599</v>
      </c>
      <c r="H58">
        <v>3E+20</v>
      </c>
      <c r="I58">
        <v>1.2004456931046801</v>
      </c>
      <c r="J58">
        <v>6.9247433393906901</v>
      </c>
      <c r="K58">
        <v>670</v>
      </c>
      <c r="L5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3.7661591772463892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0.50768660989189007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3.05178888852276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5.4245064283989102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1.1021083273538601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16.799531229886998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8">
        <f>IF((DiscreteStatsTable[[#This Row],[RepsRequested]]&gt;1),DiscreteStatsTable[[#This Row],[HalfWidth]],DiscreteStatsTable[[#This Row],[BatchMeansHalfWidth]])</f>
        <v>0.18957329568354728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>
      <c r="A59" t="s">
        <v>67</v>
      </c>
      <c r="B59" t="s">
        <v>70</v>
      </c>
      <c r="C59">
        <v>10</v>
      </c>
      <c r="D59" t="s">
        <v>71</v>
      </c>
      <c r="E59" t="s">
        <v>76</v>
      </c>
      <c r="F59" t="s">
        <v>73</v>
      </c>
      <c r="G59">
        <v>0</v>
      </c>
      <c r="H59">
        <v>0</v>
      </c>
      <c r="I59">
        <v>0</v>
      </c>
      <c r="J59">
        <v>0</v>
      </c>
      <c r="K59">
        <v>670</v>
      </c>
      <c r="L5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>
      <c r="A60" t="s">
        <v>67</v>
      </c>
      <c r="B60" t="s">
        <v>70</v>
      </c>
      <c r="C60">
        <v>10</v>
      </c>
      <c r="D60" t="s">
        <v>71</v>
      </c>
      <c r="E60" t="s">
        <v>77</v>
      </c>
      <c r="F60" t="s">
        <v>73</v>
      </c>
      <c r="G60">
        <v>2.1654519649672501</v>
      </c>
      <c r="H60">
        <v>2.2993334484736502E-2</v>
      </c>
      <c r="I60">
        <v>1.09322409637076</v>
      </c>
      <c r="J60">
        <v>2.93324818857297</v>
      </c>
      <c r="K60">
        <v>670</v>
      </c>
      <c r="L6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2.1646069252698128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2.1409329879735002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2.2049521112294199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1.02131826584019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3.1565601386708799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0">
        <f>IF((DiscreteStatsTable[[#This Row],[RepsRequested]]&gt;1),DiscreteStatsTable[[#This Row],[HalfWidth]],DiscreteStatsTable[[#This Row],[BatchMeansHalfWidth]])</f>
        <v>5.4874180230031506E-3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>
      <c r="A61" t="s">
        <v>67</v>
      </c>
      <c r="B61" t="s">
        <v>70</v>
      </c>
      <c r="C61">
        <v>10</v>
      </c>
      <c r="D61" t="s">
        <v>71</v>
      </c>
      <c r="E61" t="s">
        <v>78</v>
      </c>
      <c r="F61" t="s">
        <v>73</v>
      </c>
      <c r="G61">
        <v>0.942915171427407</v>
      </c>
      <c r="H61">
        <v>3E+20</v>
      </c>
      <c r="I61">
        <v>0</v>
      </c>
      <c r="J61">
        <v>4.5788647967169904</v>
      </c>
      <c r="K61">
        <v>670</v>
      </c>
      <c r="L6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1.6015522519765757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0.51022158284507146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0.89357558090575995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3.2802088127851201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14.282258531030999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1">
        <f>IF((DiscreteStatsTable[[#This Row],[RepsRequested]]&gt;1),DiscreteStatsTable[[#This Row],[HalfWidth]],DiscreteStatsTable[[#This Row],[BatchMeansHalfWidth]])</f>
        <v>0.19051987014078101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>
      <c r="A62" t="s">
        <v>67</v>
      </c>
      <c r="B62" t="s">
        <v>70</v>
      </c>
      <c r="C62">
        <v>11</v>
      </c>
      <c r="D62" t="s">
        <v>71</v>
      </c>
      <c r="E62" t="s">
        <v>72</v>
      </c>
      <c r="F62" t="s">
        <v>73</v>
      </c>
      <c r="G62">
        <v>0</v>
      </c>
      <c r="H62">
        <v>0</v>
      </c>
      <c r="I62">
        <v>0</v>
      </c>
      <c r="J62">
        <v>0</v>
      </c>
      <c r="K62">
        <v>668</v>
      </c>
      <c r="L62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 s="5">
        <f>IF(DiscreteStatsTable[[#This Row],[RepsRequested]]=DiscreteStatsTable[[#This Row],[RepsWithStatObserved]],1,0)</f>
        <v>1</v>
      </c>
    </row>
    <row r="63" spans="1:25">
      <c r="A63" t="s">
        <v>67</v>
      </c>
      <c r="B63" t="s">
        <v>70</v>
      </c>
      <c r="C63">
        <v>11</v>
      </c>
      <c r="D63" t="s">
        <v>71</v>
      </c>
      <c r="E63" t="s">
        <v>74</v>
      </c>
      <c r="F63" t="s">
        <v>73</v>
      </c>
      <c r="G63">
        <v>0</v>
      </c>
      <c r="H63">
        <v>0</v>
      </c>
      <c r="I63">
        <v>0</v>
      </c>
      <c r="J63">
        <v>0</v>
      </c>
      <c r="K63">
        <v>668</v>
      </c>
      <c r="L63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3" s="5">
        <f>IF((DiscreteStatsTable[[#This Row],[RepsRequested]]&gt;1),DiscreteStatsTable[[#This Row],[HalfWidth]],DiscreteStatsTable[[#This Row],[BatchMeansHalfWidth]])</f>
        <v>0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 s="5">
        <f>IF(DiscreteStatsTable[[#This Row],[RepsRequested]]=DiscreteStatsTable[[#This Row],[RepsWithStatObserved]],1,0)</f>
        <v>1</v>
      </c>
    </row>
    <row r="64" spans="1:25">
      <c r="A64" t="s">
        <v>67</v>
      </c>
      <c r="B64" t="s">
        <v>70</v>
      </c>
      <c r="C64">
        <v>11</v>
      </c>
      <c r="D64" t="s">
        <v>71</v>
      </c>
      <c r="E64" t="s">
        <v>75</v>
      </c>
      <c r="F64" t="s">
        <v>73</v>
      </c>
      <c r="G64">
        <v>4.1439520250146398</v>
      </c>
      <c r="H64">
        <v>3E+20</v>
      </c>
      <c r="I64">
        <v>1.36801732782538</v>
      </c>
      <c r="J64">
        <v>12.3431801369914</v>
      </c>
      <c r="K64">
        <v>668</v>
      </c>
      <c r="L64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3.7661591772463892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0.50768660989189007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3.05178888852276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5.4245064283989102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1.1021083273538601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16.799531229886998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4" s="5">
        <f>IF((DiscreteStatsTable[[#This Row],[RepsRequested]]&gt;1),DiscreteStatsTable[[#This Row],[HalfWidth]],DiscreteStatsTable[[#This Row],[BatchMeansHalfWidth]])</f>
        <v>0.18957329568354728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 s="5">
        <f>IF(DiscreteStatsTable[[#This Row],[RepsRequested]]=DiscreteStatsTable[[#This Row],[RepsWithStatObserved]],1,0)</f>
        <v>1</v>
      </c>
    </row>
    <row r="65" spans="1:25">
      <c r="A65" t="s">
        <v>67</v>
      </c>
      <c r="B65" t="s">
        <v>70</v>
      </c>
      <c r="C65">
        <v>11</v>
      </c>
      <c r="D65" t="s">
        <v>71</v>
      </c>
      <c r="E65" t="s">
        <v>76</v>
      </c>
      <c r="F65" t="s">
        <v>73</v>
      </c>
      <c r="G65">
        <v>0</v>
      </c>
      <c r="H65">
        <v>0</v>
      </c>
      <c r="I65">
        <v>0</v>
      </c>
      <c r="J65">
        <v>0</v>
      </c>
      <c r="K65">
        <v>668</v>
      </c>
      <c r="L65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 s="5">
        <f>IF(DiscreteStatsTable[[#This Row],[RepsRequested]]=DiscreteStatsTable[[#This Row],[RepsWithStatObserved]],1,0)</f>
        <v>1</v>
      </c>
    </row>
    <row r="66" spans="1:25">
      <c r="A66" t="s">
        <v>67</v>
      </c>
      <c r="B66" t="s">
        <v>70</v>
      </c>
      <c r="C66">
        <v>11</v>
      </c>
      <c r="D66" t="s">
        <v>71</v>
      </c>
      <c r="E66" t="s">
        <v>77</v>
      </c>
      <c r="F66" t="s">
        <v>73</v>
      </c>
      <c r="G66">
        <v>2.1790843621688798</v>
      </c>
      <c r="H66">
        <v>2.3424943602815999E-2</v>
      </c>
      <c r="I66">
        <v>1.27189366176232</v>
      </c>
      <c r="J66">
        <v>3.0181299714329799</v>
      </c>
      <c r="K66">
        <v>668</v>
      </c>
      <c r="L66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2.1646069252698128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2.1409329879735002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2.2049521112294199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1.02131826584019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3.1565601386708799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6" s="5">
        <f>IF((DiscreteStatsTable[[#This Row],[RepsRequested]]&gt;1),DiscreteStatsTable[[#This Row],[HalfWidth]],DiscreteStatsTable[[#This Row],[BatchMeansHalfWidth]])</f>
        <v>5.4874180230031506E-3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 s="5">
        <f>IF(DiscreteStatsTable[[#This Row],[RepsRequested]]=DiscreteStatsTable[[#This Row],[RepsWithStatObserved]],1,0)</f>
        <v>1</v>
      </c>
    </row>
    <row r="67" spans="1:25">
      <c r="A67" t="s">
        <v>67</v>
      </c>
      <c r="B67" t="s">
        <v>70</v>
      </c>
      <c r="C67">
        <v>11</v>
      </c>
      <c r="D67" t="s">
        <v>71</v>
      </c>
      <c r="E67" t="s">
        <v>78</v>
      </c>
      <c r="F67" t="s">
        <v>73</v>
      </c>
      <c r="G67">
        <v>1.96486766284576</v>
      </c>
      <c r="H67">
        <v>3E+20</v>
      </c>
      <c r="I67">
        <v>0</v>
      </c>
      <c r="J67">
        <v>10.342217988012999</v>
      </c>
      <c r="K67">
        <v>668</v>
      </c>
      <c r="L67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1.6015522519765757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0.51022158284507146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0.89357558090575995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3.2802088127851201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14.282258531030999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7" s="5">
        <f>IF((DiscreteStatsTable[[#This Row],[RepsRequested]]&gt;1),DiscreteStatsTable[[#This Row],[HalfWidth]],DiscreteStatsTable[[#This Row],[BatchMeansHalfWidth]])</f>
        <v>0.19051987014078101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 s="5">
        <f>IF(DiscreteStatsTable[[#This Row],[RepsRequested]]=DiscreteStatsTable[[#This Row],[RepsWithStatObserved]],1,0)</f>
        <v>1</v>
      </c>
    </row>
    <row r="68" spans="1:25">
      <c r="A68" t="s">
        <v>67</v>
      </c>
      <c r="B68" t="s">
        <v>70</v>
      </c>
      <c r="C68">
        <v>12</v>
      </c>
      <c r="D68" t="s">
        <v>71</v>
      </c>
      <c r="E68" t="s">
        <v>72</v>
      </c>
      <c r="F68" t="s">
        <v>73</v>
      </c>
      <c r="G68">
        <v>0</v>
      </c>
      <c r="H68">
        <v>0</v>
      </c>
      <c r="I68">
        <v>0</v>
      </c>
      <c r="J68">
        <v>0</v>
      </c>
      <c r="K68">
        <v>695</v>
      </c>
      <c r="L68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 s="5">
        <f>IF(DiscreteStatsTable[[#This Row],[RepsRequested]]=DiscreteStatsTable[[#This Row],[RepsWithStatObserved]],1,0)</f>
        <v>1</v>
      </c>
    </row>
    <row r="69" spans="1:25">
      <c r="A69" t="s">
        <v>67</v>
      </c>
      <c r="B69" t="s">
        <v>70</v>
      </c>
      <c r="C69">
        <v>12</v>
      </c>
      <c r="D69" t="s">
        <v>71</v>
      </c>
      <c r="E69" t="s">
        <v>74</v>
      </c>
      <c r="F69" t="s">
        <v>73</v>
      </c>
      <c r="G69">
        <v>0</v>
      </c>
      <c r="H69">
        <v>0</v>
      </c>
      <c r="I69">
        <v>0</v>
      </c>
      <c r="J69">
        <v>0</v>
      </c>
      <c r="K69">
        <v>695</v>
      </c>
      <c r="L69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69" s="5">
        <f>IF((DiscreteStatsTable[[#This Row],[RepsRequested]]&gt;1),DiscreteStatsTable[[#This Row],[HalfWidth]],DiscreteStatsTable[[#This Row],[BatchMeansHalfWidth]])</f>
        <v>0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 s="5">
        <f>IF(DiscreteStatsTable[[#This Row],[RepsRequested]]=DiscreteStatsTable[[#This Row],[RepsWithStatObserved]],1,0)</f>
        <v>1</v>
      </c>
    </row>
    <row r="70" spans="1:25">
      <c r="A70" t="s">
        <v>67</v>
      </c>
      <c r="B70" t="s">
        <v>70</v>
      </c>
      <c r="C70">
        <v>12</v>
      </c>
      <c r="D70" t="s">
        <v>71</v>
      </c>
      <c r="E70" t="s">
        <v>75</v>
      </c>
      <c r="F70" t="s">
        <v>73</v>
      </c>
      <c r="G70">
        <v>4.2991558062878097</v>
      </c>
      <c r="H70">
        <v>3E+20</v>
      </c>
      <c r="I70">
        <v>1.21427329228241</v>
      </c>
      <c r="J70">
        <v>10.6099409263044</v>
      </c>
      <c r="K70">
        <v>695</v>
      </c>
      <c r="L70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3.7661591772463892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0.50768660989189007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3.05178888852276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5.4245064283989102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1.1021083273538601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16.799531229886998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0" s="5">
        <f>IF((DiscreteStatsTable[[#This Row],[RepsRequested]]&gt;1),DiscreteStatsTable[[#This Row],[HalfWidth]],DiscreteStatsTable[[#This Row],[BatchMeansHalfWidth]])</f>
        <v>0.18957329568354728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 s="5">
        <f>IF(DiscreteStatsTable[[#This Row],[RepsRequested]]=DiscreteStatsTable[[#This Row],[RepsWithStatObserved]],1,0)</f>
        <v>1</v>
      </c>
    </row>
    <row r="71" spans="1:25">
      <c r="A71" t="s">
        <v>67</v>
      </c>
      <c r="B71" t="s">
        <v>70</v>
      </c>
      <c r="C71">
        <v>12</v>
      </c>
      <c r="D71" t="s">
        <v>71</v>
      </c>
      <c r="E71" t="s">
        <v>76</v>
      </c>
      <c r="F71" t="s">
        <v>73</v>
      </c>
      <c r="G71">
        <v>0</v>
      </c>
      <c r="H71">
        <v>0</v>
      </c>
      <c r="I71">
        <v>0</v>
      </c>
      <c r="J71">
        <v>0</v>
      </c>
      <c r="K71">
        <v>695</v>
      </c>
      <c r="L71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 s="5">
        <f>IF(DiscreteStatsTable[[#This Row],[RepsRequested]]=DiscreteStatsTable[[#This Row],[RepsWithStatObserved]],1,0)</f>
        <v>1</v>
      </c>
    </row>
    <row r="72" spans="1:25">
      <c r="A72" t="s">
        <v>67</v>
      </c>
      <c r="B72" t="s">
        <v>70</v>
      </c>
      <c r="C72">
        <v>12</v>
      </c>
      <c r="D72" t="s">
        <v>71</v>
      </c>
      <c r="E72" t="s">
        <v>77</v>
      </c>
      <c r="F72" t="s">
        <v>73</v>
      </c>
      <c r="G72">
        <v>2.1741665343544199</v>
      </c>
      <c r="H72">
        <v>3.1205322490546201E-2</v>
      </c>
      <c r="I72">
        <v>1.13149638453152</v>
      </c>
      <c r="J72">
        <v>3.0539059722887298</v>
      </c>
      <c r="K72">
        <v>695</v>
      </c>
      <c r="L72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2.1646069252698128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2.1409329879735002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2.2049521112294199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1.02131826584019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3.1565601386708799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2" s="5">
        <f>IF((DiscreteStatsTable[[#This Row],[RepsRequested]]&gt;1),DiscreteStatsTable[[#This Row],[HalfWidth]],DiscreteStatsTable[[#This Row],[BatchMeansHalfWidth]])</f>
        <v>5.4874180230031506E-3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 s="5">
        <f>IF(DiscreteStatsTable[[#This Row],[RepsRequested]]=DiscreteStatsTable[[#This Row],[RepsWithStatObserved]],1,0)</f>
        <v>1</v>
      </c>
    </row>
    <row r="73" spans="1:25">
      <c r="A73" t="s">
        <v>67</v>
      </c>
      <c r="B73" t="s">
        <v>70</v>
      </c>
      <c r="C73">
        <v>12</v>
      </c>
      <c r="D73" t="s">
        <v>71</v>
      </c>
      <c r="E73" t="s">
        <v>78</v>
      </c>
      <c r="F73" t="s">
        <v>73</v>
      </c>
      <c r="G73">
        <v>2.1249892719333801</v>
      </c>
      <c r="H73">
        <v>3E+20</v>
      </c>
      <c r="I73">
        <v>0</v>
      </c>
      <c r="J73">
        <v>8.3094078146274306</v>
      </c>
      <c r="K73">
        <v>695</v>
      </c>
      <c r="L73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1.6015522519765757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0.51022158284507146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0.89357558090575995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3.2802088127851201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14.282258531030999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3" s="5">
        <f>IF((DiscreteStatsTable[[#This Row],[RepsRequested]]&gt;1),DiscreteStatsTable[[#This Row],[HalfWidth]],DiscreteStatsTable[[#This Row],[BatchMeansHalfWidth]])</f>
        <v>0.19051987014078101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 s="5">
        <f>IF(DiscreteStatsTable[[#This Row],[RepsRequested]]=DiscreteStatsTable[[#This Row],[RepsWithStatObserved]],1,0)</f>
        <v>1</v>
      </c>
    </row>
    <row r="74" spans="1:25">
      <c r="A74" t="s">
        <v>67</v>
      </c>
      <c r="B74" t="s">
        <v>70</v>
      </c>
      <c r="C74">
        <v>13</v>
      </c>
      <c r="D74" t="s">
        <v>71</v>
      </c>
      <c r="E74" t="s">
        <v>72</v>
      </c>
      <c r="F74" t="s">
        <v>73</v>
      </c>
      <c r="G74">
        <v>0</v>
      </c>
      <c r="H74">
        <v>0</v>
      </c>
      <c r="I74">
        <v>0</v>
      </c>
      <c r="J74">
        <v>0</v>
      </c>
      <c r="K74">
        <v>646</v>
      </c>
      <c r="L74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 s="5">
        <f>IF(DiscreteStatsTable[[#This Row],[RepsRequested]]=DiscreteStatsTable[[#This Row],[RepsWithStatObserved]],1,0)</f>
        <v>1</v>
      </c>
    </row>
    <row r="75" spans="1:25">
      <c r="A75" t="s">
        <v>67</v>
      </c>
      <c r="B75" t="s">
        <v>70</v>
      </c>
      <c r="C75">
        <v>13</v>
      </c>
      <c r="D75" t="s">
        <v>71</v>
      </c>
      <c r="E75" t="s">
        <v>74</v>
      </c>
      <c r="F75" t="s">
        <v>73</v>
      </c>
      <c r="G75">
        <v>0</v>
      </c>
      <c r="H75">
        <v>0</v>
      </c>
      <c r="I75">
        <v>0</v>
      </c>
      <c r="J75">
        <v>0</v>
      </c>
      <c r="K75">
        <v>646</v>
      </c>
      <c r="L75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5" s="5">
        <f>IF((DiscreteStatsTable[[#This Row],[RepsRequested]]&gt;1),DiscreteStatsTable[[#This Row],[HalfWidth]],DiscreteStatsTable[[#This Row],[BatchMeansHalfWidth]])</f>
        <v>0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 s="5">
        <f>IF(DiscreteStatsTable[[#This Row],[RepsRequested]]=DiscreteStatsTable[[#This Row],[RepsWithStatObserved]],1,0)</f>
        <v>1</v>
      </c>
    </row>
    <row r="76" spans="1:25">
      <c r="A76" t="s">
        <v>67</v>
      </c>
      <c r="B76" t="s">
        <v>70</v>
      </c>
      <c r="C76">
        <v>13</v>
      </c>
      <c r="D76" t="s">
        <v>71</v>
      </c>
      <c r="E76" t="s">
        <v>75</v>
      </c>
      <c r="F76" t="s">
        <v>73</v>
      </c>
      <c r="G76">
        <v>3.05178888852276</v>
      </c>
      <c r="H76">
        <v>3E+20</v>
      </c>
      <c r="I76">
        <v>1.18065499548624</v>
      </c>
      <c r="J76">
        <v>7.7245648900010302</v>
      </c>
      <c r="K76">
        <v>646</v>
      </c>
      <c r="L76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3.7661591772463892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0.50768660989189007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3.05178888852276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5.4245064283989102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1.1021083273538601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16.799531229886998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6" s="5">
        <f>IF((DiscreteStatsTable[[#This Row],[RepsRequested]]&gt;1),DiscreteStatsTable[[#This Row],[HalfWidth]],DiscreteStatsTable[[#This Row],[BatchMeansHalfWidth]])</f>
        <v>0.18957329568354728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 s="5">
        <f>IF(DiscreteStatsTable[[#This Row],[RepsRequested]]=DiscreteStatsTable[[#This Row],[RepsWithStatObserved]],1,0)</f>
        <v>1</v>
      </c>
    </row>
    <row r="77" spans="1:25">
      <c r="A77" t="s">
        <v>67</v>
      </c>
      <c r="B77" t="s">
        <v>70</v>
      </c>
      <c r="C77">
        <v>13</v>
      </c>
      <c r="D77" t="s">
        <v>71</v>
      </c>
      <c r="E77" t="s">
        <v>76</v>
      </c>
      <c r="F77" t="s">
        <v>73</v>
      </c>
      <c r="G77">
        <v>0</v>
      </c>
      <c r="H77">
        <v>0</v>
      </c>
      <c r="I77">
        <v>0</v>
      </c>
      <c r="J77">
        <v>0</v>
      </c>
      <c r="K77">
        <v>646</v>
      </c>
      <c r="L77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 s="5">
        <f>IF(DiscreteStatsTable[[#This Row],[RepsRequested]]=DiscreteStatsTable[[#This Row],[RepsWithStatObserved]],1,0)</f>
        <v>1</v>
      </c>
    </row>
    <row r="78" spans="1:25">
      <c r="A78" t="s">
        <v>67</v>
      </c>
      <c r="B78" t="s">
        <v>70</v>
      </c>
      <c r="C78">
        <v>13</v>
      </c>
      <c r="D78" t="s">
        <v>71</v>
      </c>
      <c r="E78" t="s">
        <v>77</v>
      </c>
      <c r="F78" t="s">
        <v>73</v>
      </c>
      <c r="G78">
        <v>2.1582133076169998</v>
      </c>
      <c r="H78">
        <v>3.0497739356526499E-2</v>
      </c>
      <c r="I78">
        <v>1.1722070210361699</v>
      </c>
      <c r="J78">
        <v>3.00489200164502</v>
      </c>
      <c r="K78">
        <v>646</v>
      </c>
      <c r="L78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2.1646069252698128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2.1409329879735002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2.2049521112294199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1.02131826584019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3.1565601386708799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8" s="5">
        <f>IF((DiscreteStatsTable[[#This Row],[RepsRequested]]&gt;1),DiscreteStatsTable[[#This Row],[HalfWidth]],DiscreteStatsTable[[#This Row],[BatchMeansHalfWidth]])</f>
        <v>5.4874180230031506E-3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 s="5">
        <f>IF(DiscreteStatsTable[[#This Row],[RepsRequested]]=DiscreteStatsTable[[#This Row],[RepsWithStatObserved]],1,0)</f>
        <v>1</v>
      </c>
    </row>
    <row r="79" spans="1:25">
      <c r="A79" t="s">
        <v>67</v>
      </c>
      <c r="B79" t="s">
        <v>70</v>
      </c>
      <c r="C79">
        <v>13</v>
      </c>
      <c r="D79" t="s">
        <v>71</v>
      </c>
      <c r="E79" t="s">
        <v>78</v>
      </c>
      <c r="F79" t="s">
        <v>73</v>
      </c>
      <c r="G79">
        <v>0.89357558090575995</v>
      </c>
      <c r="H79">
        <v>3E+20</v>
      </c>
      <c r="I79">
        <v>0</v>
      </c>
      <c r="J79">
        <v>5.6764045000728602</v>
      </c>
      <c r="K79">
        <v>646</v>
      </c>
      <c r="L79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1.6015522519765757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0.51022158284507146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0.89357558090575995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3.2802088127851201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14.282258531030999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79" s="5">
        <f>IF((DiscreteStatsTable[[#This Row],[RepsRequested]]&gt;1),DiscreteStatsTable[[#This Row],[HalfWidth]],DiscreteStatsTable[[#This Row],[BatchMeansHalfWidth]])</f>
        <v>0.19051987014078101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 s="5">
        <f>IF(DiscreteStatsTable[[#This Row],[RepsRequested]]=DiscreteStatsTable[[#This Row],[RepsWithStatObserved]],1,0)</f>
        <v>1</v>
      </c>
    </row>
    <row r="80" spans="1:25">
      <c r="A80" t="s">
        <v>67</v>
      </c>
      <c r="B80" t="s">
        <v>70</v>
      </c>
      <c r="C80">
        <v>14</v>
      </c>
      <c r="D80" t="s">
        <v>71</v>
      </c>
      <c r="E80" t="s">
        <v>72</v>
      </c>
      <c r="F80" t="s">
        <v>73</v>
      </c>
      <c r="G80">
        <v>0</v>
      </c>
      <c r="H80">
        <v>0</v>
      </c>
      <c r="I80">
        <v>0</v>
      </c>
      <c r="J80">
        <v>0</v>
      </c>
      <c r="K80">
        <v>690</v>
      </c>
      <c r="L80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 s="5">
        <f>IF(DiscreteStatsTable[[#This Row],[RepsRequested]]=DiscreteStatsTable[[#This Row],[RepsWithStatObserved]],1,0)</f>
        <v>1</v>
      </c>
    </row>
    <row r="81" spans="1:25">
      <c r="A81" t="s">
        <v>67</v>
      </c>
      <c r="B81" t="s">
        <v>70</v>
      </c>
      <c r="C81">
        <v>14</v>
      </c>
      <c r="D81" t="s">
        <v>71</v>
      </c>
      <c r="E81" t="s">
        <v>74</v>
      </c>
      <c r="F81" t="s">
        <v>73</v>
      </c>
      <c r="G81">
        <v>0</v>
      </c>
      <c r="H81">
        <v>0</v>
      </c>
      <c r="I81">
        <v>0</v>
      </c>
      <c r="J81">
        <v>0</v>
      </c>
      <c r="K81">
        <v>690</v>
      </c>
      <c r="L81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1" s="5">
        <f>IF((DiscreteStatsTable[[#This Row],[RepsRequested]]&gt;1),DiscreteStatsTable[[#This Row],[HalfWidth]],DiscreteStatsTable[[#This Row],[BatchMeansHalfWidth]])</f>
        <v>0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 s="5">
        <f>IF(DiscreteStatsTable[[#This Row],[RepsRequested]]=DiscreteStatsTable[[#This Row],[RepsWithStatObserved]],1,0)</f>
        <v>1</v>
      </c>
    </row>
    <row r="82" spans="1:25">
      <c r="A82" t="s">
        <v>67</v>
      </c>
      <c r="B82" t="s">
        <v>70</v>
      </c>
      <c r="C82">
        <v>14</v>
      </c>
      <c r="D82" t="s">
        <v>71</v>
      </c>
      <c r="E82" t="s">
        <v>75</v>
      </c>
      <c r="F82" t="s">
        <v>73</v>
      </c>
      <c r="G82">
        <v>3.94364615597146</v>
      </c>
      <c r="H82">
        <v>0.55326354869759098</v>
      </c>
      <c r="I82">
        <v>1.1021083273538601</v>
      </c>
      <c r="J82">
        <v>9.3501077194198103</v>
      </c>
      <c r="K82">
        <v>690</v>
      </c>
      <c r="L82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3.7661591772463892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0.50768660989189007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3.05178888852276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5.4245064283989102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1.1021083273538601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16.799531229886998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2" s="5">
        <f>IF((DiscreteStatsTable[[#This Row],[RepsRequested]]&gt;1),DiscreteStatsTable[[#This Row],[HalfWidth]],DiscreteStatsTable[[#This Row],[BatchMeansHalfWidth]])</f>
        <v>0.18957329568354728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 s="5">
        <f>IF(DiscreteStatsTable[[#This Row],[RepsRequested]]=DiscreteStatsTable[[#This Row],[RepsWithStatObserved]],1,0)</f>
        <v>1</v>
      </c>
    </row>
    <row r="83" spans="1:25">
      <c r="A83" t="s">
        <v>67</v>
      </c>
      <c r="B83" t="s">
        <v>70</v>
      </c>
      <c r="C83">
        <v>14</v>
      </c>
      <c r="D83" t="s">
        <v>71</v>
      </c>
      <c r="E83" t="s">
        <v>76</v>
      </c>
      <c r="F83" t="s">
        <v>73</v>
      </c>
      <c r="G83">
        <v>0</v>
      </c>
      <c r="H83">
        <v>0</v>
      </c>
      <c r="I83">
        <v>0</v>
      </c>
      <c r="J83">
        <v>0</v>
      </c>
      <c r="K83">
        <v>690</v>
      </c>
      <c r="L83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 s="5">
        <f>IF(DiscreteStatsTable[[#This Row],[RepsRequested]]=DiscreteStatsTable[[#This Row],[RepsWithStatObserved]],1,0)</f>
        <v>1</v>
      </c>
    </row>
    <row r="84" spans="1:25">
      <c r="A84" t="s">
        <v>67</v>
      </c>
      <c r="B84" t="s">
        <v>70</v>
      </c>
      <c r="C84">
        <v>14</v>
      </c>
      <c r="D84" t="s">
        <v>71</v>
      </c>
      <c r="E84" t="s">
        <v>77</v>
      </c>
      <c r="F84" t="s">
        <v>73</v>
      </c>
      <c r="G84">
        <v>2.1672371095783598</v>
      </c>
      <c r="H84">
        <v>2.69717885156728E-2</v>
      </c>
      <c r="I84">
        <v>1.1021083273538601</v>
      </c>
      <c r="J84">
        <v>2.9978808009486202</v>
      </c>
      <c r="K84">
        <v>690</v>
      </c>
      <c r="L84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2.1646069252698128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2.1409329879735002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2.2049521112294199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1.02131826584019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3.1565601386708799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4" s="5">
        <f>IF((DiscreteStatsTable[[#This Row],[RepsRequested]]&gt;1),DiscreteStatsTable[[#This Row],[HalfWidth]],DiscreteStatsTable[[#This Row],[BatchMeansHalfWidth]])</f>
        <v>5.4874180230031506E-3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 s="5">
        <f>IF(DiscreteStatsTable[[#This Row],[RepsRequested]]=DiscreteStatsTable[[#This Row],[RepsWithStatObserved]],1,0)</f>
        <v>1</v>
      </c>
    </row>
    <row r="85" spans="1:25">
      <c r="A85" t="s">
        <v>67</v>
      </c>
      <c r="B85" t="s">
        <v>70</v>
      </c>
      <c r="C85">
        <v>14</v>
      </c>
      <c r="D85" t="s">
        <v>71</v>
      </c>
      <c r="E85" t="s">
        <v>78</v>
      </c>
      <c r="F85" t="s">
        <v>73</v>
      </c>
      <c r="G85">
        <v>1.7764090463930999</v>
      </c>
      <c r="H85">
        <v>0.55766016204447399</v>
      </c>
      <c r="I85">
        <v>0</v>
      </c>
      <c r="J85">
        <v>6.8386653251987202</v>
      </c>
      <c r="K85">
        <v>690</v>
      </c>
      <c r="L85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1.6015522519765757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0.51022158284507146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0.89357558090575995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3.2802088127851201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14.282258531030999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5" s="5">
        <f>IF((DiscreteStatsTable[[#This Row],[RepsRequested]]&gt;1),DiscreteStatsTable[[#This Row],[HalfWidth]],DiscreteStatsTable[[#This Row],[BatchMeansHalfWidth]])</f>
        <v>0.19051987014078101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 s="5">
        <f>IF(DiscreteStatsTable[[#This Row],[RepsRequested]]=DiscreteStatsTable[[#This Row],[RepsWithStatObserved]],1,0)</f>
        <v>1</v>
      </c>
    </row>
    <row r="86" spans="1:25">
      <c r="A86" t="s">
        <v>67</v>
      </c>
      <c r="B86" t="s">
        <v>70</v>
      </c>
      <c r="C86">
        <v>15</v>
      </c>
      <c r="D86" t="s">
        <v>71</v>
      </c>
      <c r="E86" t="s">
        <v>72</v>
      </c>
      <c r="F86" t="s">
        <v>73</v>
      </c>
      <c r="G86">
        <v>0</v>
      </c>
      <c r="H86">
        <v>0</v>
      </c>
      <c r="I86">
        <v>0</v>
      </c>
      <c r="J86">
        <v>0</v>
      </c>
      <c r="K86">
        <v>699</v>
      </c>
      <c r="L86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 s="5">
        <f>IF(DiscreteStatsTable[[#This Row],[RepsRequested]]=DiscreteStatsTable[[#This Row],[RepsWithStatObserved]],1,0)</f>
        <v>1</v>
      </c>
    </row>
    <row r="87" spans="1:25">
      <c r="A87" t="s">
        <v>67</v>
      </c>
      <c r="B87" t="s">
        <v>70</v>
      </c>
      <c r="C87">
        <v>15</v>
      </c>
      <c r="D87" t="s">
        <v>71</v>
      </c>
      <c r="E87" t="s">
        <v>74</v>
      </c>
      <c r="F87" t="s">
        <v>73</v>
      </c>
      <c r="G87">
        <v>0</v>
      </c>
      <c r="H87">
        <v>0</v>
      </c>
      <c r="I87">
        <v>0</v>
      </c>
      <c r="J87">
        <v>0</v>
      </c>
      <c r="K87">
        <v>699</v>
      </c>
      <c r="L87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7" s="5">
        <f>IF((DiscreteStatsTable[[#This Row],[RepsRequested]]&gt;1),DiscreteStatsTable[[#This Row],[HalfWidth]],DiscreteStatsTable[[#This Row],[BatchMeansHalfWidth]])</f>
        <v>0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 s="5">
        <f>IF(DiscreteStatsTable[[#This Row],[RepsRequested]]=DiscreteStatsTable[[#This Row],[RepsWithStatObserved]],1,0)</f>
        <v>1</v>
      </c>
    </row>
    <row r="88" spans="1:25">
      <c r="A88" t="s">
        <v>67</v>
      </c>
      <c r="B88" t="s">
        <v>70</v>
      </c>
      <c r="C88">
        <v>15</v>
      </c>
      <c r="D88" t="s">
        <v>71</v>
      </c>
      <c r="E88" t="s">
        <v>75</v>
      </c>
      <c r="F88" t="s">
        <v>73</v>
      </c>
      <c r="G88">
        <v>3.8679065113931301</v>
      </c>
      <c r="H88">
        <v>0.51510415310063595</v>
      </c>
      <c r="I88">
        <v>1.25922858592872</v>
      </c>
      <c r="J88">
        <v>8.4540630496078695</v>
      </c>
      <c r="K88">
        <v>699</v>
      </c>
      <c r="L88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3.7661591772463892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0.50768660989189007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3.05178888852276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5.4245064283989102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1.1021083273538601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16.799531229886998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8" s="5">
        <f>IF((DiscreteStatsTable[[#This Row],[RepsRequested]]&gt;1),DiscreteStatsTable[[#This Row],[HalfWidth]],DiscreteStatsTable[[#This Row],[BatchMeansHalfWidth]])</f>
        <v>0.18957329568354728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 s="5">
        <f>IF(DiscreteStatsTable[[#This Row],[RepsRequested]]=DiscreteStatsTable[[#This Row],[RepsWithStatObserved]],1,0)</f>
        <v>1</v>
      </c>
    </row>
    <row r="89" spans="1:25">
      <c r="A89" t="s">
        <v>67</v>
      </c>
      <c r="B89" t="s">
        <v>70</v>
      </c>
      <c r="C89">
        <v>15</v>
      </c>
      <c r="D89" t="s">
        <v>71</v>
      </c>
      <c r="E89" t="s">
        <v>76</v>
      </c>
      <c r="F89" t="s">
        <v>73</v>
      </c>
      <c r="G89">
        <v>0</v>
      </c>
      <c r="H89">
        <v>0</v>
      </c>
      <c r="I89">
        <v>0</v>
      </c>
      <c r="J89">
        <v>0</v>
      </c>
      <c r="K89">
        <v>699</v>
      </c>
      <c r="L89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 s="5">
        <f>IF(DiscreteStatsTable[[#This Row],[RepsRequested]]=DiscreteStatsTable[[#This Row],[RepsWithStatObserved]],1,0)</f>
        <v>1</v>
      </c>
    </row>
    <row r="90" spans="1:25">
      <c r="A90" t="s">
        <v>67</v>
      </c>
      <c r="B90" t="s">
        <v>70</v>
      </c>
      <c r="C90">
        <v>15</v>
      </c>
      <c r="D90" t="s">
        <v>71</v>
      </c>
      <c r="E90" t="s">
        <v>77</v>
      </c>
      <c r="F90" t="s">
        <v>73</v>
      </c>
      <c r="G90">
        <v>2.1699390832763101</v>
      </c>
      <c r="H90">
        <v>3.1401359466814702E-2</v>
      </c>
      <c r="I90">
        <v>1.1477190984083401</v>
      </c>
      <c r="J90">
        <v>2.9454116054124002</v>
      </c>
      <c r="K90">
        <v>699</v>
      </c>
      <c r="L90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2.1646069252698128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2.1409329879735002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2.2049521112294199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1.02131826584019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3.1565601386708799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0" s="5">
        <f>IF((DiscreteStatsTable[[#This Row],[RepsRequested]]&gt;1),DiscreteStatsTable[[#This Row],[HalfWidth]],DiscreteStatsTable[[#This Row],[BatchMeansHalfWidth]])</f>
        <v>5.4874180230031506E-3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 s="5">
        <f>IF(DiscreteStatsTable[[#This Row],[RepsRequested]]=DiscreteStatsTable[[#This Row],[RepsWithStatObserved]],1,0)</f>
        <v>1</v>
      </c>
    </row>
    <row r="91" spans="1:25">
      <c r="A91" t="s">
        <v>67</v>
      </c>
      <c r="B91" t="s">
        <v>70</v>
      </c>
      <c r="C91">
        <v>15</v>
      </c>
      <c r="D91" t="s">
        <v>71</v>
      </c>
      <c r="E91" t="s">
        <v>78</v>
      </c>
      <c r="F91" t="s">
        <v>73</v>
      </c>
      <c r="G91">
        <v>1.69796742811682</v>
      </c>
      <c r="H91">
        <v>0.50456423638360604</v>
      </c>
      <c r="I91">
        <v>0</v>
      </c>
      <c r="J91">
        <v>6.3900911014144697</v>
      </c>
      <c r="K91">
        <v>699</v>
      </c>
      <c r="L91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1.6015522519765757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0.51022158284507146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0.89357558090575995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3.2802088127851201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14.282258531030999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1" s="5">
        <f>IF((DiscreteStatsTable[[#This Row],[RepsRequested]]&gt;1),DiscreteStatsTable[[#This Row],[HalfWidth]],DiscreteStatsTable[[#This Row],[BatchMeansHalfWidth]])</f>
        <v>0.19051987014078101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 s="5">
        <f>IF(DiscreteStatsTable[[#This Row],[RepsRequested]]=DiscreteStatsTable[[#This Row],[RepsWithStatObserved]],1,0)</f>
        <v>1</v>
      </c>
    </row>
    <row r="92" spans="1:25">
      <c r="A92" t="s">
        <v>67</v>
      </c>
      <c r="B92" t="s">
        <v>70</v>
      </c>
      <c r="C92">
        <v>16</v>
      </c>
      <c r="D92" t="s">
        <v>71</v>
      </c>
      <c r="E92" t="s">
        <v>72</v>
      </c>
      <c r="F92" t="s">
        <v>73</v>
      </c>
      <c r="G92">
        <v>0</v>
      </c>
      <c r="H92">
        <v>0</v>
      </c>
      <c r="I92">
        <v>0</v>
      </c>
      <c r="J92">
        <v>0</v>
      </c>
      <c r="K92">
        <v>705</v>
      </c>
      <c r="L92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 s="5">
        <f>IF(DiscreteStatsTable[[#This Row],[RepsRequested]]=DiscreteStatsTable[[#This Row],[RepsWithStatObserved]],1,0)</f>
        <v>1</v>
      </c>
    </row>
    <row r="93" spans="1:25">
      <c r="A93" t="s">
        <v>67</v>
      </c>
      <c r="B93" t="s">
        <v>70</v>
      </c>
      <c r="C93">
        <v>16</v>
      </c>
      <c r="D93" t="s">
        <v>71</v>
      </c>
      <c r="E93" t="s">
        <v>74</v>
      </c>
      <c r="F93" t="s">
        <v>73</v>
      </c>
      <c r="G93">
        <v>0</v>
      </c>
      <c r="H93">
        <v>0</v>
      </c>
      <c r="I93">
        <v>0</v>
      </c>
      <c r="J93">
        <v>0</v>
      </c>
      <c r="K93">
        <v>705</v>
      </c>
      <c r="L93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3" s="5">
        <f>IF((DiscreteStatsTable[[#This Row],[RepsRequested]]&gt;1),DiscreteStatsTable[[#This Row],[HalfWidth]],DiscreteStatsTable[[#This Row],[BatchMeansHalfWidth]])</f>
        <v>0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 s="5">
        <f>IF(DiscreteStatsTable[[#This Row],[RepsRequested]]=DiscreteStatsTable[[#This Row],[RepsWithStatObserved]],1,0)</f>
        <v>1</v>
      </c>
    </row>
    <row r="94" spans="1:25">
      <c r="A94" t="s">
        <v>67</v>
      </c>
      <c r="B94" t="s">
        <v>70</v>
      </c>
      <c r="C94">
        <v>16</v>
      </c>
      <c r="D94" t="s">
        <v>71</v>
      </c>
      <c r="E94" t="s">
        <v>75</v>
      </c>
      <c r="F94" t="s">
        <v>73</v>
      </c>
      <c r="G94">
        <v>4.3450776773955697</v>
      </c>
      <c r="H94">
        <v>3E+20</v>
      </c>
      <c r="I94">
        <v>1.2057222860123</v>
      </c>
      <c r="J94">
        <v>12.6737391245111</v>
      </c>
      <c r="K94">
        <v>705</v>
      </c>
      <c r="L94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3.7661591772463892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0.50768660989189007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3.05178888852276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5.4245064283989102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1.1021083273538601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16.799531229886998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4" s="5">
        <f>IF((DiscreteStatsTable[[#This Row],[RepsRequested]]&gt;1),DiscreteStatsTable[[#This Row],[HalfWidth]],DiscreteStatsTable[[#This Row],[BatchMeansHalfWidth]])</f>
        <v>0.18957329568354728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 s="5">
        <f>IF(DiscreteStatsTable[[#This Row],[RepsRequested]]=DiscreteStatsTable[[#This Row],[RepsWithStatObserved]],1,0)</f>
        <v>1</v>
      </c>
    </row>
    <row r="95" spans="1:25">
      <c r="A95" t="s">
        <v>67</v>
      </c>
      <c r="B95" t="s">
        <v>70</v>
      </c>
      <c r="C95">
        <v>16</v>
      </c>
      <c r="D95" t="s">
        <v>71</v>
      </c>
      <c r="E95" t="s">
        <v>76</v>
      </c>
      <c r="F95" t="s">
        <v>73</v>
      </c>
      <c r="G95">
        <v>0</v>
      </c>
      <c r="H95">
        <v>0</v>
      </c>
      <c r="I95">
        <v>0</v>
      </c>
      <c r="J95">
        <v>0</v>
      </c>
      <c r="K95">
        <v>705</v>
      </c>
      <c r="L95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 s="5">
        <f>IF(DiscreteStatsTable[[#This Row],[RepsRequested]]=DiscreteStatsTable[[#This Row],[RepsWithStatObserved]],1,0)</f>
        <v>1</v>
      </c>
    </row>
    <row r="96" spans="1:25">
      <c r="A96" t="s">
        <v>67</v>
      </c>
      <c r="B96" t="s">
        <v>70</v>
      </c>
      <c r="C96">
        <v>16</v>
      </c>
      <c r="D96" t="s">
        <v>71</v>
      </c>
      <c r="E96" t="s">
        <v>77</v>
      </c>
      <c r="F96" t="s">
        <v>73</v>
      </c>
      <c r="G96">
        <v>2.1601114197243199</v>
      </c>
      <c r="H96">
        <v>2.7325281729855499E-2</v>
      </c>
      <c r="I96">
        <v>1.17015388283636</v>
      </c>
      <c r="J96">
        <v>3.0287104102617901</v>
      </c>
      <c r="K96">
        <v>705</v>
      </c>
      <c r="L96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2.1646069252698128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2.1409329879735002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2.2049521112294199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1.02131826584019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3.1565601386708799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6" s="5">
        <f>IF((DiscreteStatsTable[[#This Row],[RepsRequested]]&gt;1),DiscreteStatsTable[[#This Row],[HalfWidth]],DiscreteStatsTable[[#This Row],[BatchMeansHalfWidth]])</f>
        <v>5.4874180230031506E-3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 s="5">
        <f>IF(DiscreteStatsTable[[#This Row],[RepsRequested]]=DiscreteStatsTable[[#This Row],[RepsWithStatObserved]],1,0)</f>
        <v>1</v>
      </c>
    </row>
    <row r="97" spans="1:25">
      <c r="A97" t="s">
        <v>67</v>
      </c>
      <c r="B97" t="s">
        <v>70</v>
      </c>
      <c r="C97">
        <v>16</v>
      </c>
      <c r="D97" t="s">
        <v>71</v>
      </c>
      <c r="E97" t="s">
        <v>78</v>
      </c>
      <c r="F97" t="s">
        <v>73</v>
      </c>
      <c r="G97">
        <v>2.1849662576712401</v>
      </c>
      <c r="H97">
        <v>3E+20</v>
      </c>
      <c r="I97">
        <v>0</v>
      </c>
      <c r="J97">
        <v>10.0568478135137</v>
      </c>
      <c r="K97">
        <v>705</v>
      </c>
      <c r="L97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1.6015522519765757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0.51022158284507146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0.89357558090575995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3.2802088127851201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14.282258531030999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7" s="5">
        <f>IF((DiscreteStatsTable[[#This Row],[RepsRequested]]&gt;1),DiscreteStatsTable[[#This Row],[HalfWidth]],DiscreteStatsTable[[#This Row],[BatchMeansHalfWidth]])</f>
        <v>0.19051987014078101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 s="5">
        <f>IF(DiscreteStatsTable[[#This Row],[RepsRequested]]=DiscreteStatsTable[[#This Row],[RepsWithStatObserved]],1,0)</f>
        <v>1</v>
      </c>
    </row>
    <row r="98" spans="1:25">
      <c r="A98" t="s">
        <v>67</v>
      </c>
      <c r="B98" t="s">
        <v>70</v>
      </c>
      <c r="C98">
        <v>17</v>
      </c>
      <c r="D98" t="s">
        <v>71</v>
      </c>
      <c r="E98" t="s">
        <v>72</v>
      </c>
      <c r="F98" t="s">
        <v>73</v>
      </c>
      <c r="G98">
        <v>0</v>
      </c>
      <c r="H98">
        <v>0</v>
      </c>
      <c r="I98">
        <v>0</v>
      </c>
      <c r="J98">
        <v>0</v>
      </c>
      <c r="K98">
        <v>676</v>
      </c>
      <c r="L98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 s="5">
        <f>IF(DiscreteStatsTable[[#This Row],[RepsRequested]]=DiscreteStatsTable[[#This Row],[RepsWithStatObserved]],1,0)</f>
        <v>1</v>
      </c>
    </row>
    <row r="99" spans="1:25">
      <c r="A99" t="s">
        <v>67</v>
      </c>
      <c r="B99" t="s">
        <v>70</v>
      </c>
      <c r="C99">
        <v>17</v>
      </c>
      <c r="D99" t="s">
        <v>71</v>
      </c>
      <c r="E99" t="s">
        <v>74</v>
      </c>
      <c r="F99" t="s">
        <v>73</v>
      </c>
      <c r="G99">
        <v>0</v>
      </c>
      <c r="H99">
        <v>0</v>
      </c>
      <c r="I99">
        <v>0</v>
      </c>
      <c r="J99">
        <v>0</v>
      </c>
      <c r="K99">
        <v>676</v>
      </c>
      <c r="L99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99" s="5">
        <f>IF((DiscreteStatsTable[[#This Row],[RepsRequested]]&gt;1),DiscreteStatsTable[[#This Row],[HalfWidth]],DiscreteStatsTable[[#This Row],[BatchMeansHalfWidth]])</f>
        <v>0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 s="5">
        <f>IF(DiscreteStatsTable[[#This Row],[RepsRequested]]=DiscreteStatsTable[[#This Row],[RepsWithStatObserved]],1,0)</f>
        <v>1</v>
      </c>
    </row>
    <row r="100" spans="1:25">
      <c r="A100" t="s">
        <v>67</v>
      </c>
      <c r="B100" t="s">
        <v>70</v>
      </c>
      <c r="C100">
        <v>17</v>
      </c>
      <c r="D100" t="s">
        <v>71</v>
      </c>
      <c r="E100" t="s">
        <v>75</v>
      </c>
      <c r="F100" t="s">
        <v>73</v>
      </c>
      <c r="G100">
        <v>4.2739321194172604</v>
      </c>
      <c r="H100">
        <v>3E+20</v>
      </c>
      <c r="I100">
        <v>1.3778858734863799</v>
      </c>
      <c r="J100">
        <v>11.6065566096594</v>
      </c>
      <c r="K100">
        <v>676</v>
      </c>
      <c r="L100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3.7661591772463892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3.05178888852276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5.4245064283989102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1.1021083273538601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16.799531229886998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0" s="5">
        <f>IF((DiscreteStatsTable[[#This Row],[RepsRequested]]&gt;1),DiscreteStatsTable[[#This Row],[HalfWidth]],DiscreteStatsTable[[#This Row],[BatchMeansHalfWidth]])</f>
        <v>0.18957329568354728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 s="5">
        <f>IF(DiscreteStatsTable[[#This Row],[RepsRequested]]=DiscreteStatsTable[[#This Row],[RepsWithStatObserved]],1,0)</f>
        <v>1</v>
      </c>
    </row>
    <row r="101" spans="1:25">
      <c r="A101" t="s">
        <v>67</v>
      </c>
      <c r="B101" t="s">
        <v>70</v>
      </c>
      <c r="C101">
        <v>17</v>
      </c>
      <c r="D101" t="s">
        <v>71</v>
      </c>
      <c r="E101" t="s">
        <v>76</v>
      </c>
      <c r="F101" t="s">
        <v>73</v>
      </c>
      <c r="G101">
        <v>0</v>
      </c>
      <c r="H101">
        <v>0</v>
      </c>
      <c r="I101">
        <v>0</v>
      </c>
      <c r="J101">
        <v>0</v>
      </c>
      <c r="K101">
        <v>676</v>
      </c>
      <c r="L101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 s="5">
        <f>IF(DiscreteStatsTable[[#This Row],[RepsRequested]]=DiscreteStatsTable[[#This Row],[RepsWithStatObserved]],1,0)</f>
        <v>1</v>
      </c>
    </row>
    <row r="102" spans="1:25">
      <c r="A102" t="s">
        <v>67</v>
      </c>
      <c r="B102" t="s">
        <v>70</v>
      </c>
      <c r="C102">
        <v>17</v>
      </c>
      <c r="D102" t="s">
        <v>71</v>
      </c>
      <c r="E102" t="s">
        <v>77</v>
      </c>
      <c r="F102" t="s">
        <v>73</v>
      </c>
      <c r="G102">
        <v>2.1593349892494902</v>
      </c>
      <c r="H102">
        <v>3.45687410660626E-2</v>
      </c>
      <c r="I102">
        <v>1.1849811532272601</v>
      </c>
      <c r="J102">
        <v>3.0436141660006499</v>
      </c>
      <c r="K102">
        <v>676</v>
      </c>
      <c r="L102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2.1646069252698128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2.1409329879735002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2.2049521112294199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1.02131826584019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3.1565601386708799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2" s="5">
        <f>IF((DiscreteStatsTable[[#This Row],[RepsRequested]]&gt;1),DiscreteStatsTable[[#This Row],[HalfWidth]],DiscreteStatsTable[[#This Row],[BatchMeansHalfWidth]])</f>
        <v>5.4874180230031506E-3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 s="5">
        <f>IF(DiscreteStatsTable[[#This Row],[RepsRequested]]=DiscreteStatsTable[[#This Row],[RepsWithStatObserved]],1,0)</f>
        <v>1</v>
      </c>
    </row>
    <row r="103" spans="1:25">
      <c r="A103" t="s">
        <v>67</v>
      </c>
      <c r="B103" t="s">
        <v>70</v>
      </c>
      <c r="C103">
        <v>17</v>
      </c>
      <c r="D103" t="s">
        <v>71</v>
      </c>
      <c r="E103" t="s">
        <v>78</v>
      </c>
      <c r="F103" t="s">
        <v>73</v>
      </c>
      <c r="G103">
        <v>2.1145971301677702</v>
      </c>
      <c r="H103">
        <v>3E+20</v>
      </c>
      <c r="I103">
        <v>0</v>
      </c>
      <c r="J103">
        <v>9.1237861209264093</v>
      </c>
      <c r="K103">
        <v>676</v>
      </c>
      <c r="L103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1.6015522519765757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0.89357558090575995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3.2802088127851201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14.282258531030999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3" s="5">
        <f>IF((DiscreteStatsTable[[#This Row],[RepsRequested]]&gt;1),DiscreteStatsTable[[#This Row],[HalfWidth]],DiscreteStatsTable[[#This Row],[BatchMeansHalfWidth]])</f>
        <v>0.19051987014078101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 s="5">
        <f>IF(DiscreteStatsTable[[#This Row],[RepsRequested]]=DiscreteStatsTable[[#This Row],[RepsWithStatObserved]],1,0)</f>
        <v>1</v>
      </c>
    </row>
    <row r="104" spans="1:25">
      <c r="A104" t="s">
        <v>67</v>
      </c>
      <c r="B104" t="s">
        <v>70</v>
      </c>
      <c r="C104">
        <v>18</v>
      </c>
      <c r="D104" t="s">
        <v>71</v>
      </c>
      <c r="E104" t="s">
        <v>72</v>
      </c>
      <c r="F104" t="s">
        <v>73</v>
      </c>
      <c r="G104">
        <v>0</v>
      </c>
      <c r="H104">
        <v>0</v>
      </c>
      <c r="I104">
        <v>0</v>
      </c>
      <c r="J104">
        <v>0</v>
      </c>
      <c r="K104">
        <v>646</v>
      </c>
      <c r="L104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4" s="5">
        <f>IF((DiscreteStatsTable[[#This Row],[RepsRequested]]&gt;1),DiscreteStatsTable[[#This Row],[HalfWidth]],DiscreteStatsTable[[#This Row],[BatchMeansHalfWidth]])</f>
        <v>0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 s="5">
        <f>IF(DiscreteStatsTable[[#This Row],[RepsRequested]]=DiscreteStatsTable[[#This Row],[RepsWithStatObserved]],1,0)</f>
        <v>1</v>
      </c>
    </row>
    <row r="105" spans="1:25">
      <c r="A105" t="s">
        <v>67</v>
      </c>
      <c r="B105" t="s">
        <v>70</v>
      </c>
      <c r="C105">
        <v>18</v>
      </c>
      <c r="D105" t="s">
        <v>71</v>
      </c>
      <c r="E105" t="s">
        <v>74</v>
      </c>
      <c r="F105" t="s">
        <v>73</v>
      </c>
      <c r="G105">
        <v>0</v>
      </c>
      <c r="H105">
        <v>0</v>
      </c>
      <c r="I105">
        <v>0</v>
      </c>
      <c r="J105">
        <v>0</v>
      </c>
      <c r="K105">
        <v>646</v>
      </c>
      <c r="L105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5" s="5">
        <f>IF((DiscreteStatsTable[[#This Row],[RepsRequested]]&gt;1),DiscreteStatsTable[[#This Row],[HalfWidth]],DiscreteStatsTable[[#This Row],[BatchMeansHalfWidth]])</f>
        <v>0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 s="5">
        <f>IF(DiscreteStatsTable[[#This Row],[RepsRequested]]=DiscreteStatsTable[[#This Row],[RepsWithStatObserved]],1,0)</f>
        <v>1</v>
      </c>
    </row>
    <row r="106" spans="1:25">
      <c r="A106" t="s">
        <v>67</v>
      </c>
      <c r="B106" t="s">
        <v>70</v>
      </c>
      <c r="C106">
        <v>18</v>
      </c>
      <c r="D106" t="s">
        <v>71</v>
      </c>
      <c r="E106" t="s">
        <v>75</v>
      </c>
      <c r="F106" t="s">
        <v>73</v>
      </c>
      <c r="G106">
        <v>3.2568608378200898</v>
      </c>
      <c r="H106">
        <v>3E+20</v>
      </c>
      <c r="I106">
        <v>1.35213219106689</v>
      </c>
      <c r="J106">
        <v>7.8924026399500304</v>
      </c>
      <c r="K106">
        <v>646</v>
      </c>
      <c r="L106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3.7661591772463892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3.05178888852276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5.4245064283989102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1.1021083273538601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16.799531229886998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6" s="5">
        <f>IF((DiscreteStatsTable[[#This Row],[RepsRequested]]&gt;1),DiscreteStatsTable[[#This Row],[HalfWidth]],DiscreteStatsTable[[#This Row],[BatchMeansHalfWidth]])</f>
        <v>0.18957329568354728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 s="5">
        <f>IF(DiscreteStatsTable[[#This Row],[RepsRequested]]=DiscreteStatsTable[[#This Row],[RepsWithStatObserved]],1,0)</f>
        <v>1</v>
      </c>
    </row>
    <row r="107" spans="1:25">
      <c r="A107" t="s">
        <v>67</v>
      </c>
      <c r="B107" t="s">
        <v>70</v>
      </c>
      <c r="C107">
        <v>18</v>
      </c>
      <c r="D107" t="s">
        <v>71</v>
      </c>
      <c r="E107" t="s">
        <v>76</v>
      </c>
      <c r="F107" t="s">
        <v>73</v>
      </c>
      <c r="G107">
        <v>0</v>
      </c>
      <c r="H107">
        <v>0</v>
      </c>
      <c r="I107">
        <v>0</v>
      </c>
      <c r="J107">
        <v>0</v>
      </c>
      <c r="K107">
        <v>646</v>
      </c>
      <c r="L107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 s="5">
        <f>IF(DiscreteStatsTable[[#This Row],[RepsRequested]]=DiscreteStatsTable[[#This Row],[RepsWithStatObserved]],1,0)</f>
        <v>1</v>
      </c>
    </row>
    <row r="108" spans="1:25">
      <c r="A108" t="s">
        <v>67</v>
      </c>
      <c r="B108" t="s">
        <v>70</v>
      </c>
      <c r="C108">
        <v>18</v>
      </c>
      <c r="D108" t="s">
        <v>71</v>
      </c>
      <c r="E108" t="s">
        <v>77</v>
      </c>
      <c r="F108" t="s">
        <v>73</v>
      </c>
      <c r="G108">
        <v>2.17795896734042</v>
      </c>
      <c r="H108">
        <v>2.54898055242858E-2</v>
      </c>
      <c r="I108">
        <v>1.13516264522292</v>
      </c>
      <c r="J108">
        <v>3.03289502167797</v>
      </c>
      <c r="K108">
        <v>646</v>
      </c>
      <c r="L108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2.1646069252698128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2.1409329879735002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2.2049521112294199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1.02131826584019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3.1565601386708799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8" s="5">
        <f>IF((DiscreteStatsTable[[#This Row],[RepsRequested]]&gt;1),DiscreteStatsTable[[#This Row],[HalfWidth]],DiscreteStatsTable[[#This Row],[BatchMeansHalfWidth]])</f>
        <v>5.4874180230031506E-3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 s="5">
        <f>IF(DiscreteStatsTable[[#This Row],[RepsRequested]]=DiscreteStatsTable[[#This Row],[RepsWithStatObserved]],1,0)</f>
        <v>1</v>
      </c>
    </row>
    <row r="109" spans="1:25">
      <c r="A109" t="s">
        <v>67</v>
      </c>
      <c r="B109" t="s">
        <v>70</v>
      </c>
      <c r="C109">
        <v>18</v>
      </c>
      <c r="D109" t="s">
        <v>71</v>
      </c>
      <c r="E109" t="s">
        <v>78</v>
      </c>
      <c r="F109" t="s">
        <v>73</v>
      </c>
      <c r="G109">
        <v>1.07890187047968</v>
      </c>
      <c r="H109">
        <v>3E+20</v>
      </c>
      <c r="I109">
        <v>0</v>
      </c>
      <c r="J109">
        <v>5.8387839987840398</v>
      </c>
      <c r="K109">
        <v>646</v>
      </c>
      <c r="L109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1.6015522519765757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0.89357558090575995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3.2802088127851201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14.282258531030999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09" s="5">
        <f>IF((DiscreteStatsTable[[#This Row],[RepsRequested]]&gt;1),DiscreteStatsTable[[#This Row],[HalfWidth]],DiscreteStatsTable[[#This Row],[BatchMeansHalfWidth]])</f>
        <v>0.19051987014078101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 s="5">
        <f>IF(DiscreteStatsTable[[#This Row],[RepsRequested]]=DiscreteStatsTable[[#This Row],[RepsWithStatObserved]],1,0)</f>
        <v>1</v>
      </c>
    </row>
    <row r="110" spans="1:25">
      <c r="A110" t="s">
        <v>67</v>
      </c>
      <c r="B110" t="s">
        <v>70</v>
      </c>
      <c r="C110">
        <v>19</v>
      </c>
      <c r="D110" t="s">
        <v>71</v>
      </c>
      <c r="E110" t="s">
        <v>72</v>
      </c>
      <c r="F110" t="s">
        <v>73</v>
      </c>
      <c r="G110">
        <v>0</v>
      </c>
      <c r="H110">
        <v>0</v>
      </c>
      <c r="I110">
        <v>0</v>
      </c>
      <c r="J110">
        <v>0</v>
      </c>
      <c r="K110">
        <v>690</v>
      </c>
      <c r="L110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0" s="5">
        <f>IF((DiscreteStatsTable[[#This Row],[RepsRequested]]&gt;1),DiscreteStatsTable[[#This Row],[HalfWidth]],DiscreteStatsTable[[#This Row],[BatchMeansHalfWidth]])</f>
        <v>0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 s="5">
        <f>IF(DiscreteStatsTable[[#This Row],[RepsRequested]]=DiscreteStatsTable[[#This Row],[RepsWithStatObserved]],1,0)</f>
        <v>1</v>
      </c>
    </row>
    <row r="111" spans="1:25">
      <c r="A111" t="s">
        <v>67</v>
      </c>
      <c r="B111" t="s">
        <v>70</v>
      </c>
      <c r="C111">
        <v>19</v>
      </c>
      <c r="D111" t="s">
        <v>71</v>
      </c>
      <c r="E111" t="s">
        <v>74</v>
      </c>
      <c r="F111" t="s">
        <v>73</v>
      </c>
      <c r="G111">
        <v>0</v>
      </c>
      <c r="H111">
        <v>0</v>
      </c>
      <c r="I111">
        <v>0</v>
      </c>
      <c r="J111">
        <v>0</v>
      </c>
      <c r="K111">
        <v>690</v>
      </c>
      <c r="L111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1" s="5">
        <f>IF((DiscreteStatsTable[[#This Row],[RepsRequested]]&gt;1),DiscreteStatsTable[[#This Row],[HalfWidth]],DiscreteStatsTable[[#This Row],[BatchMeansHalfWidth]])</f>
        <v>0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 s="5">
        <f>IF(DiscreteStatsTable[[#This Row],[RepsRequested]]=DiscreteStatsTable[[#This Row],[RepsWithStatObserved]],1,0)</f>
        <v>1</v>
      </c>
    </row>
    <row r="112" spans="1:25">
      <c r="A112" t="s">
        <v>67</v>
      </c>
      <c r="B112" t="s">
        <v>70</v>
      </c>
      <c r="C112">
        <v>19</v>
      </c>
      <c r="D112" t="s">
        <v>71</v>
      </c>
      <c r="E112" t="s">
        <v>75</v>
      </c>
      <c r="F112" t="s">
        <v>73</v>
      </c>
      <c r="G112">
        <v>3.5332946471792099</v>
      </c>
      <c r="H112">
        <v>0.45959583627527201</v>
      </c>
      <c r="I112">
        <v>1.2598467787957599</v>
      </c>
      <c r="J112">
        <v>9.3167194128703308</v>
      </c>
      <c r="K112">
        <v>690</v>
      </c>
      <c r="L112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3.7661591772463892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3.05178888852276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5.4245064283989102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1.1021083273538601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16.799531229886998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2" s="5">
        <f>IF((DiscreteStatsTable[[#This Row],[RepsRequested]]&gt;1),DiscreteStatsTable[[#This Row],[HalfWidth]],DiscreteStatsTable[[#This Row],[BatchMeansHalfWidth]])</f>
        <v>0.18957329568354728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 s="5">
        <f>IF(DiscreteStatsTable[[#This Row],[RepsRequested]]=DiscreteStatsTable[[#This Row],[RepsWithStatObserved]],1,0)</f>
        <v>1</v>
      </c>
    </row>
    <row r="113" spans="1:25">
      <c r="A113" t="s">
        <v>67</v>
      </c>
      <c r="B113" t="s">
        <v>70</v>
      </c>
      <c r="C113">
        <v>19</v>
      </c>
      <c r="D113" t="s">
        <v>71</v>
      </c>
      <c r="E113" t="s">
        <v>76</v>
      </c>
      <c r="F113" t="s">
        <v>73</v>
      </c>
      <c r="G113">
        <v>0</v>
      </c>
      <c r="H113">
        <v>0</v>
      </c>
      <c r="I113">
        <v>0</v>
      </c>
      <c r="J113">
        <v>0</v>
      </c>
      <c r="K113">
        <v>690</v>
      </c>
      <c r="L113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 s="5">
        <f>IF(DiscreteStatsTable[[#This Row],[RepsRequested]]=DiscreteStatsTable[[#This Row],[RepsWithStatObserved]],1,0)</f>
        <v>1</v>
      </c>
    </row>
    <row r="114" spans="1:25">
      <c r="A114" t="s">
        <v>67</v>
      </c>
      <c r="B114" t="s">
        <v>70</v>
      </c>
      <c r="C114">
        <v>19</v>
      </c>
      <c r="D114" t="s">
        <v>71</v>
      </c>
      <c r="E114" t="s">
        <v>77</v>
      </c>
      <c r="F114" t="s">
        <v>73</v>
      </c>
      <c r="G114">
        <v>2.1409329879735002</v>
      </c>
      <c r="H114">
        <v>2.9458242620257501E-2</v>
      </c>
      <c r="I114">
        <v>1.02131826584019</v>
      </c>
      <c r="J114">
        <v>2.9463432115669801</v>
      </c>
      <c r="K114">
        <v>690</v>
      </c>
      <c r="L114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2.1646069252698128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2.1409329879735002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2.2049521112294199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1.02131826584019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3.1565601386708799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4" s="5">
        <f>IF((DiscreteStatsTable[[#This Row],[RepsRequested]]&gt;1),DiscreteStatsTable[[#This Row],[HalfWidth]],DiscreteStatsTable[[#This Row],[BatchMeansHalfWidth]])</f>
        <v>5.4874180230031506E-3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 s="5">
        <f>IF(DiscreteStatsTable[[#This Row],[RepsRequested]]=DiscreteStatsTable[[#This Row],[RepsWithStatObserved]],1,0)</f>
        <v>1</v>
      </c>
    </row>
    <row r="115" spans="1:25">
      <c r="A115" t="s">
        <v>67</v>
      </c>
      <c r="B115" t="s">
        <v>70</v>
      </c>
      <c r="C115">
        <v>19</v>
      </c>
      <c r="D115" t="s">
        <v>71</v>
      </c>
      <c r="E115" t="s">
        <v>78</v>
      </c>
      <c r="F115" t="s">
        <v>73</v>
      </c>
      <c r="G115">
        <v>1.39236165920571</v>
      </c>
      <c r="H115">
        <v>0.45174455872672797</v>
      </c>
      <c r="I115">
        <v>0</v>
      </c>
      <c r="J115">
        <v>7.2531399381915698</v>
      </c>
      <c r="K115">
        <v>690</v>
      </c>
      <c r="L115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1.6015522519765757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0.89357558090575995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3.2802088127851201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14.282258531030999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5" s="5">
        <f>IF((DiscreteStatsTable[[#This Row],[RepsRequested]]&gt;1),DiscreteStatsTable[[#This Row],[HalfWidth]],DiscreteStatsTable[[#This Row],[BatchMeansHalfWidth]])</f>
        <v>0.19051987014078101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 s="5">
        <f>IF(DiscreteStatsTable[[#This Row],[RepsRequested]]=DiscreteStatsTable[[#This Row],[RepsWithStatObserved]],1,0)</f>
        <v>1</v>
      </c>
    </row>
    <row r="116" spans="1:25">
      <c r="A116" t="s">
        <v>67</v>
      </c>
      <c r="B116" t="s">
        <v>70</v>
      </c>
      <c r="C116">
        <v>20</v>
      </c>
      <c r="D116" t="s">
        <v>71</v>
      </c>
      <c r="E116" t="s">
        <v>72</v>
      </c>
      <c r="F116" t="s">
        <v>73</v>
      </c>
      <c r="G116">
        <v>0</v>
      </c>
      <c r="H116">
        <v>0</v>
      </c>
      <c r="I116">
        <v>0</v>
      </c>
      <c r="J116">
        <v>0</v>
      </c>
      <c r="K116">
        <v>639</v>
      </c>
      <c r="L116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6" s="5">
        <f>IF((DiscreteStatsTable[[#This Row],[RepsRequested]]&gt;1),DiscreteStatsTable[[#This Row],[HalfWidth]],DiscreteStatsTable[[#This Row],[BatchMeansHalfWidth]])</f>
        <v>0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 s="5">
        <f>IF(DiscreteStatsTable[[#This Row],[RepsRequested]]=DiscreteStatsTable[[#This Row],[RepsWithStatObserved]],1,0)</f>
        <v>1</v>
      </c>
    </row>
    <row r="117" spans="1:25">
      <c r="A117" t="s">
        <v>67</v>
      </c>
      <c r="B117" t="s">
        <v>70</v>
      </c>
      <c r="C117">
        <v>20</v>
      </c>
      <c r="D117" t="s">
        <v>71</v>
      </c>
      <c r="E117" t="s">
        <v>74</v>
      </c>
      <c r="F117" t="s">
        <v>73</v>
      </c>
      <c r="G117">
        <v>0</v>
      </c>
      <c r="H117">
        <v>0</v>
      </c>
      <c r="I117">
        <v>0</v>
      </c>
      <c r="J117">
        <v>0</v>
      </c>
      <c r="K117">
        <v>639</v>
      </c>
      <c r="L117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7" s="5">
        <f>IF((DiscreteStatsTable[[#This Row],[RepsRequested]]&gt;1),DiscreteStatsTable[[#This Row],[HalfWidth]],DiscreteStatsTable[[#This Row],[BatchMeansHalfWidth]])</f>
        <v>0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 s="5">
        <f>IF(DiscreteStatsTable[[#This Row],[RepsRequested]]=DiscreteStatsTable[[#This Row],[RepsWithStatObserved]],1,0)</f>
        <v>1</v>
      </c>
    </row>
    <row r="118" spans="1:25">
      <c r="A118" t="s">
        <v>67</v>
      </c>
      <c r="B118" t="s">
        <v>70</v>
      </c>
      <c r="C118">
        <v>20</v>
      </c>
      <c r="D118" t="s">
        <v>71</v>
      </c>
      <c r="E118" t="s">
        <v>75</v>
      </c>
      <c r="F118" t="s">
        <v>73</v>
      </c>
      <c r="G118">
        <v>3.5889267561103799</v>
      </c>
      <c r="H118">
        <v>3E+20</v>
      </c>
      <c r="I118">
        <v>1.3011914361379699</v>
      </c>
      <c r="J118">
        <v>8.9215130689573794</v>
      </c>
      <c r="K118">
        <v>639</v>
      </c>
      <c r="L118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3.7661591772463892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3.05178888852276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5.4245064283989102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1.1021083273538601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16.799531229886998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8" s="5">
        <f>IF((DiscreteStatsTable[[#This Row],[RepsRequested]]&gt;1),DiscreteStatsTable[[#This Row],[HalfWidth]],DiscreteStatsTable[[#This Row],[BatchMeansHalfWidth]])</f>
        <v>0.18957329568354728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 s="5">
        <f>IF(DiscreteStatsTable[[#This Row],[RepsRequested]]=DiscreteStatsTable[[#This Row],[RepsWithStatObserved]],1,0)</f>
        <v>1</v>
      </c>
    </row>
    <row r="119" spans="1:25">
      <c r="A119" t="s">
        <v>67</v>
      </c>
      <c r="B119" t="s">
        <v>70</v>
      </c>
      <c r="C119">
        <v>20</v>
      </c>
      <c r="D119" t="s">
        <v>71</v>
      </c>
      <c r="E119" t="s">
        <v>76</v>
      </c>
      <c r="F119" t="s">
        <v>73</v>
      </c>
      <c r="G119">
        <v>0</v>
      </c>
      <c r="H119">
        <v>0</v>
      </c>
      <c r="I119">
        <v>0</v>
      </c>
      <c r="J119">
        <v>0</v>
      </c>
      <c r="K119">
        <v>639</v>
      </c>
      <c r="L119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 s="5">
        <f>IF(DiscreteStatsTable[[#This Row],[RepsRequested]]=DiscreteStatsTable[[#This Row],[RepsWithStatObserved]],1,0)</f>
        <v>1</v>
      </c>
    </row>
    <row r="120" spans="1:25">
      <c r="A120" t="s">
        <v>67</v>
      </c>
      <c r="B120" t="s">
        <v>70</v>
      </c>
      <c r="C120">
        <v>20</v>
      </c>
      <c r="D120" t="s">
        <v>71</v>
      </c>
      <c r="E120" t="s">
        <v>77</v>
      </c>
      <c r="F120" t="s">
        <v>73</v>
      </c>
      <c r="G120">
        <v>2.16172634038</v>
      </c>
      <c r="H120">
        <v>2.5919526805106601E-2</v>
      </c>
      <c r="I120">
        <v>1.3011914361379699</v>
      </c>
      <c r="J120">
        <v>3.0052450286268</v>
      </c>
      <c r="K120">
        <v>639</v>
      </c>
      <c r="L120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2.1646069252698128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2.1409329879735002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2.2049521112294199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1.02131826584019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3.1565601386708799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0" s="5">
        <f>IF((DiscreteStatsTable[[#This Row],[RepsRequested]]&gt;1),DiscreteStatsTable[[#This Row],[HalfWidth]],DiscreteStatsTable[[#This Row],[BatchMeansHalfWidth]])</f>
        <v>5.4874180230031506E-3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 s="5">
        <f>IF(DiscreteStatsTable[[#This Row],[RepsRequested]]=DiscreteStatsTable[[#This Row],[RepsWithStatObserved]],1,0)</f>
        <v>1</v>
      </c>
    </row>
    <row r="121" spans="1:25">
      <c r="A121" t="s">
        <v>67</v>
      </c>
      <c r="B121" t="s">
        <v>70</v>
      </c>
      <c r="C121">
        <v>20</v>
      </c>
      <c r="D121" t="s">
        <v>71</v>
      </c>
      <c r="E121" t="s">
        <v>78</v>
      </c>
      <c r="F121" t="s">
        <v>73</v>
      </c>
      <c r="G121">
        <v>1.4272004157303799</v>
      </c>
      <c r="H121">
        <v>3E+20</v>
      </c>
      <c r="I121">
        <v>0</v>
      </c>
      <c r="J121">
        <v>6.7705191495925003</v>
      </c>
      <c r="K121">
        <v>639</v>
      </c>
      <c r="L121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1.6015522519765757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0.89357558090575995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3.2802088127851201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14.282258531030999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1" s="5">
        <f>IF((DiscreteStatsTable[[#This Row],[RepsRequested]]&gt;1),DiscreteStatsTable[[#This Row],[HalfWidth]],DiscreteStatsTable[[#This Row],[BatchMeansHalfWidth]])</f>
        <v>0.19051987014078101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 s="5">
        <f>IF(DiscreteStatsTable[[#This Row],[RepsRequested]]=DiscreteStatsTable[[#This Row],[RepsWithStatObserved]],1,0)</f>
        <v>1</v>
      </c>
    </row>
    <row r="122" spans="1:25">
      <c r="A122" t="s">
        <v>67</v>
      </c>
      <c r="B122" t="s">
        <v>70</v>
      </c>
      <c r="C122">
        <v>21</v>
      </c>
      <c r="D122" t="s">
        <v>71</v>
      </c>
      <c r="E122" t="s">
        <v>72</v>
      </c>
      <c r="F122" t="s">
        <v>73</v>
      </c>
      <c r="G122">
        <v>0</v>
      </c>
      <c r="H122">
        <v>0</v>
      </c>
      <c r="I122">
        <v>0</v>
      </c>
      <c r="J122">
        <v>0</v>
      </c>
      <c r="K122">
        <v>678</v>
      </c>
      <c r="L122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>
      <c r="A123" t="s">
        <v>67</v>
      </c>
      <c r="B123" t="s">
        <v>70</v>
      </c>
      <c r="C123">
        <v>21</v>
      </c>
      <c r="D123" t="s">
        <v>71</v>
      </c>
      <c r="E123" t="s">
        <v>74</v>
      </c>
      <c r="F123" t="s">
        <v>73</v>
      </c>
      <c r="G123">
        <v>0</v>
      </c>
      <c r="H123">
        <v>0</v>
      </c>
      <c r="I123">
        <v>0</v>
      </c>
      <c r="J123">
        <v>0</v>
      </c>
      <c r="K123">
        <v>678</v>
      </c>
      <c r="L123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>
      <c r="A124" t="s">
        <v>67</v>
      </c>
      <c r="B124" t="s">
        <v>70</v>
      </c>
      <c r="C124">
        <v>21</v>
      </c>
      <c r="D124" t="s">
        <v>71</v>
      </c>
      <c r="E124" t="s">
        <v>75</v>
      </c>
      <c r="F124" t="s">
        <v>73</v>
      </c>
      <c r="G124">
        <v>3.72391131892886</v>
      </c>
      <c r="H124">
        <v>0.44302408518967301</v>
      </c>
      <c r="I124">
        <v>1.3272096851108599</v>
      </c>
      <c r="J124">
        <v>8.9236537723920701</v>
      </c>
      <c r="K124">
        <v>678</v>
      </c>
      <c r="L124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3.7661591772463892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3.05178888852276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5.4245064283989102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1.1021083273538601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16.799531229886998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4" s="5">
        <f>IF((DiscreteStatsTable[[#This Row],[RepsRequested]]&gt;1),DiscreteStatsTable[[#This Row],[HalfWidth]],DiscreteStatsTable[[#This Row],[BatchMeansHalfWidth]])</f>
        <v>0.18957329568354728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>
      <c r="A125" t="s">
        <v>67</v>
      </c>
      <c r="B125" t="s">
        <v>70</v>
      </c>
      <c r="C125">
        <v>21</v>
      </c>
      <c r="D125" t="s">
        <v>71</v>
      </c>
      <c r="E125" t="s">
        <v>76</v>
      </c>
      <c r="F125" t="s">
        <v>73</v>
      </c>
      <c r="G125">
        <v>0</v>
      </c>
      <c r="H125">
        <v>0</v>
      </c>
      <c r="I125">
        <v>0</v>
      </c>
      <c r="J125">
        <v>0</v>
      </c>
      <c r="K125">
        <v>678</v>
      </c>
      <c r="L125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>
      <c r="A126" t="s">
        <v>67</v>
      </c>
      <c r="B126" t="s">
        <v>70</v>
      </c>
      <c r="C126">
        <v>21</v>
      </c>
      <c r="D126" t="s">
        <v>71</v>
      </c>
      <c r="E126" t="s">
        <v>77</v>
      </c>
      <c r="F126" t="s">
        <v>73</v>
      </c>
      <c r="G126">
        <v>2.1737464385201801</v>
      </c>
      <c r="H126">
        <v>3.2116127682112798E-2</v>
      </c>
      <c r="I126">
        <v>1.0926898306605899</v>
      </c>
      <c r="J126">
        <v>3.1565601386708799</v>
      </c>
      <c r="K126">
        <v>678</v>
      </c>
      <c r="L126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2.1646069252698128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2.1409329879735002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2.2049521112294199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1.02131826584019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3.1565601386708799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6" s="5">
        <f>IF((DiscreteStatsTable[[#This Row],[RepsRequested]]&gt;1),DiscreteStatsTable[[#This Row],[HalfWidth]],DiscreteStatsTable[[#This Row],[BatchMeansHalfWidth]])</f>
        <v>5.4874180230031506E-3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>
      <c r="A127" t="s">
        <v>67</v>
      </c>
      <c r="B127" t="s">
        <v>70</v>
      </c>
      <c r="C127">
        <v>21</v>
      </c>
      <c r="D127" t="s">
        <v>71</v>
      </c>
      <c r="E127" t="s">
        <v>78</v>
      </c>
      <c r="F127" t="s">
        <v>73</v>
      </c>
      <c r="G127">
        <v>1.5501648804086801</v>
      </c>
      <c r="H127">
        <v>0.44502444686168202</v>
      </c>
      <c r="I127">
        <v>0</v>
      </c>
      <c r="J127">
        <v>6.4001163932224499</v>
      </c>
      <c r="K127">
        <v>678</v>
      </c>
      <c r="L127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1.6015522519765757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0.89357558090575995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3.2802088127851201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14.282258531030999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7" s="5">
        <f>IF((DiscreteStatsTable[[#This Row],[RepsRequested]]&gt;1),DiscreteStatsTable[[#This Row],[HalfWidth]],DiscreteStatsTable[[#This Row],[BatchMeansHalfWidth]])</f>
        <v>0.19051987014078101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>
      <c r="A128" t="s">
        <v>67</v>
      </c>
      <c r="B128" t="s">
        <v>70</v>
      </c>
      <c r="C128">
        <v>22</v>
      </c>
      <c r="D128" t="s">
        <v>71</v>
      </c>
      <c r="E128" t="s">
        <v>72</v>
      </c>
      <c r="F128" t="s">
        <v>73</v>
      </c>
      <c r="G128">
        <v>0</v>
      </c>
      <c r="H128">
        <v>0</v>
      </c>
      <c r="I128">
        <v>0</v>
      </c>
      <c r="J128">
        <v>0</v>
      </c>
      <c r="K128">
        <v>663</v>
      </c>
      <c r="L128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>
      <c r="A129" t="s">
        <v>67</v>
      </c>
      <c r="B129" t="s">
        <v>70</v>
      </c>
      <c r="C129">
        <v>22</v>
      </c>
      <c r="D129" t="s">
        <v>71</v>
      </c>
      <c r="E129" t="s">
        <v>74</v>
      </c>
      <c r="F129" t="s">
        <v>73</v>
      </c>
      <c r="G129">
        <v>0</v>
      </c>
      <c r="H129">
        <v>0</v>
      </c>
      <c r="I129">
        <v>0</v>
      </c>
      <c r="J129">
        <v>0</v>
      </c>
      <c r="K129">
        <v>663</v>
      </c>
      <c r="L129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>
      <c r="A130" t="s">
        <v>67</v>
      </c>
      <c r="B130" t="s">
        <v>70</v>
      </c>
      <c r="C130">
        <v>22</v>
      </c>
      <c r="D130" t="s">
        <v>71</v>
      </c>
      <c r="E130" t="s">
        <v>75</v>
      </c>
      <c r="F130" t="s">
        <v>73</v>
      </c>
      <c r="G130">
        <v>3.25585274457789</v>
      </c>
      <c r="H130">
        <v>3E+20</v>
      </c>
      <c r="I130">
        <v>1.1223570134877101</v>
      </c>
      <c r="J130">
        <v>8.7979960794029193</v>
      </c>
      <c r="K130">
        <v>663</v>
      </c>
      <c r="L130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3.7661591772463892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3.05178888852276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5.4245064283989102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1.1021083273538601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16.799531229886998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0" s="5">
        <f>IF((DiscreteStatsTable[[#This Row],[RepsRequested]]&gt;1),DiscreteStatsTable[[#This Row],[HalfWidth]],DiscreteStatsTable[[#This Row],[BatchMeansHalfWidth]])</f>
        <v>0.18957329568354728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>
      <c r="A131" t="s">
        <v>67</v>
      </c>
      <c r="B131" t="s">
        <v>70</v>
      </c>
      <c r="C131">
        <v>22</v>
      </c>
      <c r="D131" t="s">
        <v>71</v>
      </c>
      <c r="E131" t="s">
        <v>76</v>
      </c>
      <c r="F131" t="s">
        <v>73</v>
      </c>
      <c r="G131">
        <v>0</v>
      </c>
      <c r="H131">
        <v>0</v>
      </c>
      <c r="I131">
        <v>0</v>
      </c>
      <c r="J131">
        <v>0</v>
      </c>
      <c r="K131">
        <v>663</v>
      </c>
      <c r="L131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>
      <c r="A132" t="s">
        <v>67</v>
      </c>
      <c r="B132" t="s">
        <v>70</v>
      </c>
      <c r="C132">
        <v>22</v>
      </c>
      <c r="D132" t="s">
        <v>71</v>
      </c>
      <c r="E132" t="s">
        <v>77</v>
      </c>
      <c r="F132" t="s">
        <v>73</v>
      </c>
      <c r="G132">
        <v>2.1628703719714899</v>
      </c>
      <c r="H132">
        <v>4.1117585423525102E-2</v>
      </c>
      <c r="I132">
        <v>1.1223570134877101</v>
      </c>
      <c r="J132">
        <v>2.96596088749012</v>
      </c>
      <c r="K132">
        <v>663</v>
      </c>
      <c r="L132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2.1646069252698128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2.1409329879735002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2.2049521112294199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1.02131826584019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3.1565601386708799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2" s="5">
        <f>IF((DiscreteStatsTable[[#This Row],[RepsRequested]]&gt;1),DiscreteStatsTable[[#This Row],[HalfWidth]],DiscreteStatsTable[[#This Row],[BatchMeansHalfWidth]])</f>
        <v>5.4874180230031506E-3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>
      <c r="A133" t="s">
        <v>67</v>
      </c>
      <c r="B133" t="s">
        <v>70</v>
      </c>
      <c r="C133">
        <v>22</v>
      </c>
      <c r="D133" t="s">
        <v>71</v>
      </c>
      <c r="E133" t="s">
        <v>78</v>
      </c>
      <c r="F133" t="s">
        <v>73</v>
      </c>
      <c r="G133">
        <v>1.0929823726064001</v>
      </c>
      <c r="H133">
        <v>0.45114336780861902</v>
      </c>
      <c r="I133">
        <v>0</v>
      </c>
      <c r="J133">
        <v>6.3605266454428797</v>
      </c>
      <c r="K133">
        <v>663</v>
      </c>
      <c r="L133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1.6015522519765757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0.89357558090575995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3.2802088127851201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14.282258531030999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3" s="5">
        <f>IF((DiscreteStatsTable[[#This Row],[RepsRequested]]&gt;1),DiscreteStatsTable[[#This Row],[HalfWidth]],DiscreteStatsTable[[#This Row],[BatchMeansHalfWidth]])</f>
        <v>0.19051987014078101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>
      <c r="A134" t="s">
        <v>67</v>
      </c>
      <c r="B134" t="s">
        <v>70</v>
      </c>
      <c r="C134">
        <v>23</v>
      </c>
      <c r="D134" t="s">
        <v>71</v>
      </c>
      <c r="E134" t="s">
        <v>72</v>
      </c>
      <c r="F134" t="s">
        <v>73</v>
      </c>
      <c r="G134">
        <v>0</v>
      </c>
      <c r="H134">
        <v>0</v>
      </c>
      <c r="I134">
        <v>0</v>
      </c>
      <c r="J134">
        <v>0</v>
      </c>
      <c r="K134">
        <v>717</v>
      </c>
      <c r="L134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>
      <c r="A135" t="s">
        <v>67</v>
      </c>
      <c r="B135" t="s">
        <v>70</v>
      </c>
      <c r="C135">
        <v>23</v>
      </c>
      <c r="D135" t="s">
        <v>71</v>
      </c>
      <c r="E135" t="s">
        <v>74</v>
      </c>
      <c r="F135" t="s">
        <v>73</v>
      </c>
      <c r="G135">
        <v>0</v>
      </c>
      <c r="H135">
        <v>0</v>
      </c>
      <c r="I135">
        <v>0</v>
      </c>
      <c r="J135">
        <v>0</v>
      </c>
      <c r="K135">
        <v>717</v>
      </c>
      <c r="L135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>
      <c r="A136" t="s">
        <v>67</v>
      </c>
      <c r="B136" t="s">
        <v>70</v>
      </c>
      <c r="C136">
        <v>23</v>
      </c>
      <c r="D136" t="s">
        <v>71</v>
      </c>
      <c r="E136" t="s">
        <v>75</v>
      </c>
      <c r="F136" t="s">
        <v>73</v>
      </c>
      <c r="G136">
        <v>4.2753647473687</v>
      </c>
      <c r="H136">
        <v>0.793522173252734</v>
      </c>
      <c r="I136">
        <v>1.27230958311048</v>
      </c>
      <c r="J136">
        <v>13.4532400583753</v>
      </c>
      <c r="K136">
        <v>717</v>
      </c>
      <c r="L136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3.7661591772463892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3.05178888852276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5.4245064283989102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1.1021083273538601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16.799531229886998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6" s="5">
        <f>IF((DiscreteStatsTable[[#This Row],[RepsRequested]]&gt;1),DiscreteStatsTable[[#This Row],[HalfWidth]],DiscreteStatsTable[[#This Row],[BatchMeansHalfWidth]])</f>
        <v>0.18957329568354728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>
      <c r="A137" t="s">
        <v>67</v>
      </c>
      <c r="B137" t="s">
        <v>70</v>
      </c>
      <c r="C137">
        <v>23</v>
      </c>
      <c r="D137" t="s">
        <v>71</v>
      </c>
      <c r="E137" t="s">
        <v>76</v>
      </c>
      <c r="F137" t="s">
        <v>73</v>
      </c>
      <c r="G137">
        <v>0</v>
      </c>
      <c r="H137">
        <v>0</v>
      </c>
      <c r="I137">
        <v>0</v>
      </c>
      <c r="J137">
        <v>0</v>
      </c>
      <c r="K137">
        <v>717</v>
      </c>
      <c r="L137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>
      <c r="A138" t="s">
        <v>67</v>
      </c>
      <c r="B138" t="s">
        <v>70</v>
      </c>
      <c r="C138">
        <v>23</v>
      </c>
      <c r="D138" t="s">
        <v>71</v>
      </c>
      <c r="E138" t="s">
        <v>77</v>
      </c>
      <c r="F138" t="s">
        <v>73</v>
      </c>
      <c r="G138">
        <v>2.1549224694265399</v>
      </c>
      <c r="H138">
        <v>2.1629795356533602E-2</v>
      </c>
      <c r="I138">
        <v>1.27230958311048</v>
      </c>
      <c r="J138">
        <v>3.0993431728830401</v>
      </c>
      <c r="K138">
        <v>717</v>
      </c>
      <c r="L138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2.1646069252698128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2.1409329879735002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2.2049521112294199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1.02131826584019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3.1565601386708799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8" s="5">
        <f>IF((DiscreteStatsTable[[#This Row],[RepsRequested]]&gt;1),DiscreteStatsTable[[#This Row],[HalfWidth]],DiscreteStatsTable[[#This Row],[BatchMeansHalfWidth]])</f>
        <v>5.4874180230031506E-3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>
      <c r="A139" t="s">
        <v>67</v>
      </c>
      <c r="B139" t="s">
        <v>70</v>
      </c>
      <c r="C139">
        <v>23</v>
      </c>
      <c r="D139" t="s">
        <v>71</v>
      </c>
      <c r="E139" t="s">
        <v>78</v>
      </c>
      <c r="F139" t="s">
        <v>73</v>
      </c>
      <c r="G139">
        <v>2.1204422779421699</v>
      </c>
      <c r="H139">
        <v>0.78907546258783801</v>
      </c>
      <c r="I139">
        <v>0</v>
      </c>
      <c r="J139">
        <v>11.202006929319399</v>
      </c>
      <c r="K139">
        <v>717</v>
      </c>
      <c r="L139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1.6015522519765757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0.89357558090575995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3.2802088127851201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14.282258531030999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39" s="5">
        <f>IF((DiscreteStatsTable[[#This Row],[RepsRequested]]&gt;1),DiscreteStatsTable[[#This Row],[HalfWidth]],DiscreteStatsTable[[#This Row],[BatchMeansHalfWidth]])</f>
        <v>0.19051987014078101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>
      <c r="A140" t="s">
        <v>67</v>
      </c>
      <c r="B140" t="s">
        <v>70</v>
      </c>
      <c r="C140">
        <v>24</v>
      </c>
      <c r="D140" t="s">
        <v>71</v>
      </c>
      <c r="E140" t="s">
        <v>72</v>
      </c>
      <c r="F140" t="s">
        <v>73</v>
      </c>
      <c r="G140">
        <v>0</v>
      </c>
      <c r="H140">
        <v>0</v>
      </c>
      <c r="I140">
        <v>0</v>
      </c>
      <c r="J140">
        <v>0</v>
      </c>
      <c r="K140">
        <v>660</v>
      </c>
      <c r="L140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>
      <c r="A141" t="s">
        <v>67</v>
      </c>
      <c r="B141" t="s">
        <v>70</v>
      </c>
      <c r="C141">
        <v>24</v>
      </c>
      <c r="D141" t="s">
        <v>71</v>
      </c>
      <c r="E141" t="s">
        <v>74</v>
      </c>
      <c r="F141" t="s">
        <v>73</v>
      </c>
      <c r="G141">
        <v>0</v>
      </c>
      <c r="H141">
        <v>0</v>
      </c>
      <c r="I141">
        <v>0</v>
      </c>
      <c r="J141">
        <v>0</v>
      </c>
      <c r="K141">
        <v>660</v>
      </c>
      <c r="L141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>
      <c r="A142" t="s">
        <v>67</v>
      </c>
      <c r="B142" t="s">
        <v>70</v>
      </c>
      <c r="C142">
        <v>24</v>
      </c>
      <c r="D142" t="s">
        <v>71</v>
      </c>
      <c r="E142" t="s">
        <v>75</v>
      </c>
      <c r="F142" t="s">
        <v>73</v>
      </c>
      <c r="G142">
        <v>3.76141981802335</v>
      </c>
      <c r="H142">
        <v>0.81419611423012495</v>
      </c>
      <c r="I142">
        <v>1.1859923434792701</v>
      </c>
      <c r="J142">
        <v>12.958692377396</v>
      </c>
      <c r="K142">
        <v>660</v>
      </c>
      <c r="L142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3.7661591772463892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3.05178888852276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5.4245064283989102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1.1021083273538601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16.799531229886998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2" s="5">
        <f>IF((DiscreteStatsTable[[#This Row],[RepsRequested]]&gt;1),DiscreteStatsTable[[#This Row],[HalfWidth]],DiscreteStatsTable[[#This Row],[BatchMeansHalfWidth]])</f>
        <v>0.18957329568354728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>
      <c r="A143" t="s">
        <v>67</v>
      </c>
      <c r="B143" t="s">
        <v>70</v>
      </c>
      <c r="C143">
        <v>24</v>
      </c>
      <c r="D143" t="s">
        <v>71</v>
      </c>
      <c r="E143" t="s">
        <v>76</v>
      </c>
      <c r="F143" t="s">
        <v>73</v>
      </c>
      <c r="G143">
        <v>0</v>
      </c>
      <c r="H143">
        <v>0</v>
      </c>
      <c r="I143">
        <v>0</v>
      </c>
      <c r="J143">
        <v>0</v>
      </c>
      <c r="K143">
        <v>660</v>
      </c>
      <c r="L143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>
      <c r="A144" t="s">
        <v>67</v>
      </c>
      <c r="B144" t="s">
        <v>70</v>
      </c>
      <c r="C144">
        <v>24</v>
      </c>
      <c r="D144" t="s">
        <v>71</v>
      </c>
      <c r="E144" t="s">
        <v>77</v>
      </c>
      <c r="F144" t="s">
        <v>73</v>
      </c>
      <c r="G144">
        <v>2.1707291505344299</v>
      </c>
      <c r="H144">
        <v>2.4241724311822199E-2</v>
      </c>
      <c r="I144">
        <v>1.11717305818047</v>
      </c>
      <c r="J144">
        <v>3.0196464349730299</v>
      </c>
      <c r="K144">
        <v>660</v>
      </c>
      <c r="L144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2.1646069252698128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2.1409329879735002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2.2049521112294199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1.02131826584019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3.1565601386708799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4" s="5">
        <f>IF((DiscreteStatsTable[[#This Row],[RepsRequested]]&gt;1),DiscreteStatsTable[[#This Row],[HalfWidth]],DiscreteStatsTable[[#This Row],[BatchMeansHalfWidth]])</f>
        <v>5.4874180230031506E-3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>
      <c r="A145" t="s">
        <v>67</v>
      </c>
      <c r="B145" t="s">
        <v>70</v>
      </c>
      <c r="C145">
        <v>24</v>
      </c>
      <c r="D145" t="s">
        <v>71</v>
      </c>
      <c r="E145" t="s">
        <v>78</v>
      </c>
      <c r="F145" t="s">
        <v>73</v>
      </c>
      <c r="G145">
        <v>1.5906906674889301</v>
      </c>
      <c r="H145">
        <v>0.80036425173724302</v>
      </c>
      <c r="I145">
        <v>0</v>
      </c>
      <c r="J145">
        <v>10.279081704916299</v>
      </c>
      <c r="K145">
        <v>660</v>
      </c>
      <c r="L145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1.6015522519765757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0.89357558090575995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3.2802088127851201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14.282258531030999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5" s="5">
        <f>IF((DiscreteStatsTable[[#This Row],[RepsRequested]]&gt;1),DiscreteStatsTable[[#This Row],[HalfWidth]],DiscreteStatsTable[[#This Row],[BatchMeansHalfWidth]])</f>
        <v>0.19051987014078101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>
      <c r="A146" t="s">
        <v>67</v>
      </c>
      <c r="B146" t="s">
        <v>70</v>
      </c>
      <c r="C146">
        <v>25</v>
      </c>
      <c r="D146" t="s">
        <v>71</v>
      </c>
      <c r="E146" t="s">
        <v>72</v>
      </c>
      <c r="F146" t="s">
        <v>73</v>
      </c>
      <c r="G146">
        <v>0</v>
      </c>
      <c r="H146">
        <v>0</v>
      </c>
      <c r="I146">
        <v>0</v>
      </c>
      <c r="J146">
        <v>0</v>
      </c>
      <c r="K146">
        <v>699</v>
      </c>
      <c r="L146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>
      <c r="A147" t="s">
        <v>67</v>
      </c>
      <c r="B147" t="s">
        <v>70</v>
      </c>
      <c r="C147">
        <v>25</v>
      </c>
      <c r="D147" t="s">
        <v>71</v>
      </c>
      <c r="E147" t="s">
        <v>74</v>
      </c>
      <c r="F147" t="s">
        <v>73</v>
      </c>
      <c r="G147">
        <v>0</v>
      </c>
      <c r="H147">
        <v>0</v>
      </c>
      <c r="I147">
        <v>0</v>
      </c>
      <c r="J147">
        <v>0</v>
      </c>
      <c r="K147">
        <v>699</v>
      </c>
      <c r="L147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>
      <c r="A148" t="s">
        <v>67</v>
      </c>
      <c r="B148" t="s">
        <v>70</v>
      </c>
      <c r="C148">
        <v>25</v>
      </c>
      <c r="D148" t="s">
        <v>71</v>
      </c>
      <c r="E148" t="s">
        <v>75</v>
      </c>
      <c r="F148" t="s">
        <v>73</v>
      </c>
      <c r="G148">
        <v>3.8355979431547</v>
      </c>
      <c r="H148">
        <v>0.57196277913855398</v>
      </c>
      <c r="I148">
        <v>1.1793142445193601</v>
      </c>
      <c r="J148">
        <v>8.8689826000136502</v>
      </c>
      <c r="K148">
        <v>699</v>
      </c>
      <c r="L148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3.7661591772463892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3.05178888852276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5.4245064283989102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1.1021083273538601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16.799531229886998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8" s="5">
        <f>IF((DiscreteStatsTable[[#This Row],[RepsRequested]]&gt;1),DiscreteStatsTable[[#This Row],[HalfWidth]],DiscreteStatsTable[[#This Row],[BatchMeansHalfWidth]])</f>
        <v>0.18957329568354728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>
      <c r="A149" t="s">
        <v>67</v>
      </c>
      <c r="B149" t="s">
        <v>70</v>
      </c>
      <c r="C149">
        <v>25</v>
      </c>
      <c r="D149" t="s">
        <v>71</v>
      </c>
      <c r="E149" t="s">
        <v>76</v>
      </c>
      <c r="F149" t="s">
        <v>73</v>
      </c>
      <c r="G149">
        <v>0</v>
      </c>
      <c r="H149">
        <v>0</v>
      </c>
      <c r="I149">
        <v>0</v>
      </c>
      <c r="J149">
        <v>0</v>
      </c>
      <c r="K149">
        <v>699</v>
      </c>
      <c r="L149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>
      <c r="A150" t="s">
        <v>67</v>
      </c>
      <c r="B150" t="s">
        <v>70</v>
      </c>
      <c r="C150">
        <v>25</v>
      </c>
      <c r="D150" t="s">
        <v>71</v>
      </c>
      <c r="E150" t="s">
        <v>77</v>
      </c>
      <c r="F150" t="s">
        <v>73</v>
      </c>
      <c r="G150">
        <v>2.1740055644574601</v>
      </c>
      <c r="H150">
        <v>2.494245131977E-2</v>
      </c>
      <c r="I150">
        <v>1.1793142445193601</v>
      </c>
      <c r="J150">
        <v>2.9221870745607799</v>
      </c>
      <c r="K150">
        <v>699</v>
      </c>
      <c r="L150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2.1646069252698128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2.1409329879735002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2.2049521112294199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1.02131826584019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3.1565601386708799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0" s="5">
        <f>IF((DiscreteStatsTable[[#This Row],[RepsRequested]]&gt;1),DiscreteStatsTable[[#This Row],[HalfWidth]],DiscreteStatsTable[[#This Row],[BatchMeansHalfWidth]])</f>
        <v>5.4874180230031506E-3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>
      <c r="A151" t="s">
        <v>67</v>
      </c>
      <c r="B151" t="s">
        <v>70</v>
      </c>
      <c r="C151">
        <v>25</v>
      </c>
      <c r="D151" t="s">
        <v>71</v>
      </c>
      <c r="E151" t="s">
        <v>78</v>
      </c>
      <c r="F151" t="s">
        <v>73</v>
      </c>
      <c r="G151">
        <v>1.66159237869724</v>
      </c>
      <c r="H151">
        <v>0.56651848351022005</v>
      </c>
      <c r="I151">
        <v>0</v>
      </c>
      <c r="J151">
        <v>6.63055527496343</v>
      </c>
      <c r="K151">
        <v>699</v>
      </c>
      <c r="L151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1.6015522519765757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0.89357558090575995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3.2802088127851201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14.282258531030999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1" s="5">
        <f>IF((DiscreteStatsTable[[#This Row],[RepsRequested]]&gt;1),DiscreteStatsTable[[#This Row],[HalfWidth]],DiscreteStatsTable[[#This Row],[BatchMeansHalfWidth]])</f>
        <v>0.19051987014078101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>
      <c r="A152" t="s">
        <v>67</v>
      </c>
      <c r="B152" t="s">
        <v>70</v>
      </c>
      <c r="C152">
        <v>26</v>
      </c>
      <c r="D152" t="s">
        <v>71</v>
      </c>
      <c r="E152" t="s">
        <v>72</v>
      </c>
      <c r="F152" t="s">
        <v>73</v>
      </c>
      <c r="G152">
        <v>0</v>
      </c>
      <c r="H152">
        <v>0</v>
      </c>
      <c r="I152">
        <v>0</v>
      </c>
      <c r="J152">
        <v>0</v>
      </c>
      <c r="K152">
        <v>703</v>
      </c>
      <c r="L152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>
      <c r="A153" t="s">
        <v>67</v>
      </c>
      <c r="B153" t="s">
        <v>70</v>
      </c>
      <c r="C153">
        <v>26</v>
      </c>
      <c r="D153" t="s">
        <v>71</v>
      </c>
      <c r="E153" t="s">
        <v>74</v>
      </c>
      <c r="F153" t="s">
        <v>73</v>
      </c>
      <c r="G153">
        <v>0</v>
      </c>
      <c r="H153">
        <v>0</v>
      </c>
      <c r="I153">
        <v>0</v>
      </c>
      <c r="J153">
        <v>0</v>
      </c>
      <c r="K153">
        <v>703</v>
      </c>
      <c r="L153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>
      <c r="A154" t="s">
        <v>67</v>
      </c>
      <c r="B154" t="s">
        <v>70</v>
      </c>
      <c r="C154">
        <v>26</v>
      </c>
      <c r="D154" t="s">
        <v>71</v>
      </c>
      <c r="E154" t="s">
        <v>75</v>
      </c>
      <c r="F154" t="s">
        <v>73</v>
      </c>
      <c r="G154">
        <v>4.3018632893431503</v>
      </c>
      <c r="H154">
        <v>3E+20</v>
      </c>
      <c r="I154">
        <v>1.28756387757949</v>
      </c>
      <c r="J154">
        <v>10.6648392991937</v>
      </c>
      <c r="K154">
        <v>703</v>
      </c>
      <c r="L154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3.7661591772463892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3.05178888852276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5.4245064283989102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1.1021083273538601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16.799531229886998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4" s="5">
        <f>IF((DiscreteStatsTable[[#This Row],[RepsRequested]]&gt;1),DiscreteStatsTable[[#This Row],[HalfWidth]],DiscreteStatsTable[[#This Row],[BatchMeansHalfWidth]])</f>
        <v>0.18957329568354728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>
      <c r="A155" t="s">
        <v>67</v>
      </c>
      <c r="B155" t="s">
        <v>70</v>
      </c>
      <c r="C155">
        <v>26</v>
      </c>
      <c r="D155" t="s">
        <v>71</v>
      </c>
      <c r="E155" t="s">
        <v>76</v>
      </c>
      <c r="F155" t="s">
        <v>73</v>
      </c>
      <c r="G155">
        <v>0</v>
      </c>
      <c r="H155">
        <v>0</v>
      </c>
      <c r="I155">
        <v>0</v>
      </c>
      <c r="J155">
        <v>0</v>
      </c>
      <c r="K155">
        <v>703</v>
      </c>
      <c r="L155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>
      <c r="A156" t="s">
        <v>67</v>
      </c>
      <c r="B156" t="s">
        <v>70</v>
      </c>
      <c r="C156">
        <v>26</v>
      </c>
      <c r="D156" t="s">
        <v>71</v>
      </c>
      <c r="E156" t="s">
        <v>77</v>
      </c>
      <c r="F156" t="s">
        <v>73</v>
      </c>
      <c r="G156">
        <v>2.1592645635639598</v>
      </c>
      <c r="H156">
        <v>3.2303999123861803E-2</v>
      </c>
      <c r="I156">
        <v>1.0716810381695601</v>
      </c>
      <c r="J156">
        <v>2.9147610789748901</v>
      </c>
      <c r="K156">
        <v>703</v>
      </c>
      <c r="L156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2.1646069252698128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2.1409329879735002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2.2049521112294199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1.02131826584019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3.1565601386708799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6" s="5">
        <f>IF((DiscreteStatsTable[[#This Row],[RepsRequested]]&gt;1),DiscreteStatsTable[[#This Row],[HalfWidth]],DiscreteStatsTable[[#This Row],[BatchMeansHalfWidth]])</f>
        <v>5.4874180230031506E-3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>
      <c r="A157" t="s">
        <v>67</v>
      </c>
      <c r="B157" t="s">
        <v>70</v>
      </c>
      <c r="C157">
        <v>26</v>
      </c>
      <c r="D157" t="s">
        <v>71</v>
      </c>
      <c r="E157" t="s">
        <v>78</v>
      </c>
      <c r="F157" t="s">
        <v>73</v>
      </c>
      <c r="G157">
        <v>2.1425987257791901</v>
      </c>
      <c r="H157">
        <v>3E+20</v>
      </c>
      <c r="I157">
        <v>0</v>
      </c>
      <c r="J157">
        <v>8.2305930959783602</v>
      </c>
      <c r="K157">
        <v>703</v>
      </c>
      <c r="L157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1.6015522519765757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0.89357558090575995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3.2802088127851201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14.282258531030999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7" s="5">
        <f>IF((DiscreteStatsTable[[#This Row],[RepsRequested]]&gt;1),DiscreteStatsTable[[#This Row],[HalfWidth]],DiscreteStatsTable[[#This Row],[BatchMeansHalfWidth]])</f>
        <v>0.19051987014078101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>
      <c r="A158" t="s">
        <v>67</v>
      </c>
      <c r="B158" t="s">
        <v>70</v>
      </c>
      <c r="C158">
        <v>27</v>
      </c>
      <c r="D158" t="s">
        <v>71</v>
      </c>
      <c r="E158" t="s">
        <v>72</v>
      </c>
      <c r="F158" t="s">
        <v>73</v>
      </c>
      <c r="G158">
        <v>0</v>
      </c>
      <c r="H158">
        <v>0</v>
      </c>
      <c r="I158">
        <v>0</v>
      </c>
      <c r="J158">
        <v>0</v>
      </c>
      <c r="K158">
        <v>632</v>
      </c>
      <c r="L158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>
      <c r="A159" t="s">
        <v>67</v>
      </c>
      <c r="B159" t="s">
        <v>70</v>
      </c>
      <c r="C159">
        <v>27</v>
      </c>
      <c r="D159" t="s">
        <v>71</v>
      </c>
      <c r="E159" t="s">
        <v>74</v>
      </c>
      <c r="F159" t="s">
        <v>73</v>
      </c>
      <c r="G159">
        <v>0</v>
      </c>
      <c r="H159">
        <v>0</v>
      </c>
      <c r="I159">
        <v>0</v>
      </c>
      <c r="J159">
        <v>0</v>
      </c>
      <c r="K159">
        <v>632</v>
      </c>
      <c r="L159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>
      <c r="A160" t="s">
        <v>67</v>
      </c>
      <c r="B160" t="s">
        <v>70</v>
      </c>
      <c r="C160">
        <v>27</v>
      </c>
      <c r="D160" t="s">
        <v>71</v>
      </c>
      <c r="E160" t="s">
        <v>75</v>
      </c>
      <c r="F160" t="s">
        <v>73</v>
      </c>
      <c r="G160">
        <v>3.1967028850880799</v>
      </c>
      <c r="H160">
        <v>3E+20</v>
      </c>
      <c r="I160">
        <v>1.23958241819486</v>
      </c>
      <c r="J160">
        <v>9.25324113710343</v>
      </c>
      <c r="K160">
        <v>632</v>
      </c>
      <c r="L160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3.7661591772463892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3.05178888852276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5.4245064283989102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1.1021083273538601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16.799531229886998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0" s="5">
        <f>IF((DiscreteStatsTable[[#This Row],[RepsRequested]]&gt;1),DiscreteStatsTable[[#This Row],[HalfWidth]],DiscreteStatsTable[[#This Row],[BatchMeansHalfWidth]])</f>
        <v>0.18957329568354728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>
      <c r="A161" t="s">
        <v>67</v>
      </c>
      <c r="B161" t="s">
        <v>70</v>
      </c>
      <c r="C161">
        <v>27</v>
      </c>
      <c r="D161" t="s">
        <v>71</v>
      </c>
      <c r="E161" t="s">
        <v>76</v>
      </c>
      <c r="F161" t="s">
        <v>73</v>
      </c>
      <c r="G161">
        <v>0</v>
      </c>
      <c r="H161">
        <v>0</v>
      </c>
      <c r="I161">
        <v>0</v>
      </c>
      <c r="J161">
        <v>0</v>
      </c>
      <c r="K161">
        <v>632</v>
      </c>
      <c r="L161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>
      <c r="A162" t="s">
        <v>67</v>
      </c>
      <c r="B162" t="s">
        <v>70</v>
      </c>
      <c r="C162">
        <v>27</v>
      </c>
      <c r="D162" t="s">
        <v>71</v>
      </c>
      <c r="E162" t="s">
        <v>77</v>
      </c>
      <c r="F162" t="s">
        <v>73</v>
      </c>
      <c r="G162">
        <v>2.1526523098208101</v>
      </c>
      <c r="H162">
        <v>3.0225800870855499E-2</v>
      </c>
      <c r="I162">
        <v>1.23958241819486</v>
      </c>
      <c r="J162">
        <v>2.9448573820134198</v>
      </c>
      <c r="K162">
        <v>632</v>
      </c>
      <c r="L162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2.1646069252698128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2.1409329879735002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2.2049521112294199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1.02131826584019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3.1565601386708799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2" s="5">
        <f>IF((DiscreteStatsTable[[#This Row],[RepsRequested]]&gt;1),DiscreteStatsTable[[#This Row],[HalfWidth]],DiscreteStatsTable[[#This Row],[BatchMeansHalfWidth]])</f>
        <v>5.4874180230031506E-3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>
      <c r="A163" t="s">
        <v>67</v>
      </c>
      <c r="B163" t="s">
        <v>70</v>
      </c>
      <c r="C163">
        <v>27</v>
      </c>
      <c r="D163" t="s">
        <v>71</v>
      </c>
      <c r="E163" t="s">
        <v>78</v>
      </c>
      <c r="F163" t="s">
        <v>73</v>
      </c>
      <c r="G163">
        <v>1.04405057526727</v>
      </c>
      <c r="H163">
        <v>3E+20</v>
      </c>
      <c r="I163">
        <v>0</v>
      </c>
      <c r="J163">
        <v>6.77737247691209</v>
      </c>
      <c r="K163">
        <v>632</v>
      </c>
      <c r="L163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1.6015522519765757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0.89357558090575995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3.2802088127851201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14.282258531030999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3" s="5">
        <f>IF((DiscreteStatsTable[[#This Row],[RepsRequested]]&gt;1),DiscreteStatsTable[[#This Row],[HalfWidth]],DiscreteStatsTable[[#This Row],[BatchMeansHalfWidth]])</f>
        <v>0.19051987014078101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>
      <c r="A164" t="s">
        <v>67</v>
      </c>
      <c r="B164" t="s">
        <v>70</v>
      </c>
      <c r="C164">
        <v>28</v>
      </c>
      <c r="D164" t="s">
        <v>71</v>
      </c>
      <c r="E164" t="s">
        <v>72</v>
      </c>
      <c r="F164" t="s">
        <v>73</v>
      </c>
      <c r="G164">
        <v>0</v>
      </c>
      <c r="H164">
        <v>0</v>
      </c>
      <c r="I164">
        <v>0</v>
      </c>
      <c r="J164">
        <v>0</v>
      </c>
      <c r="K164">
        <v>683</v>
      </c>
      <c r="L164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>
      <c r="A165" t="s">
        <v>67</v>
      </c>
      <c r="B165" t="s">
        <v>70</v>
      </c>
      <c r="C165">
        <v>28</v>
      </c>
      <c r="D165" t="s">
        <v>71</v>
      </c>
      <c r="E165" t="s">
        <v>74</v>
      </c>
      <c r="F165" t="s">
        <v>73</v>
      </c>
      <c r="G165">
        <v>0</v>
      </c>
      <c r="H165">
        <v>0</v>
      </c>
      <c r="I165">
        <v>0</v>
      </c>
      <c r="J165">
        <v>0</v>
      </c>
      <c r="K165">
        <v>683</v>
      </c>
      <c r="L165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>
      <c r="A166" t="s">
        <v>67</v>
      </c>
      <c r="B166" t="s">
        <v>70</v>
      </c>
      <c r="C166">
        <v>28</v>
      </c>
      <c r="D166" t="s">
        <v>71</v>
      </c>
      <c r="E166" t="s">
        <v>75</v>
      </c>
      <c r="F166" t="s">
        <v>73</v>
      </c>
      <c r="G166">
        <v>4.0761837849131304</v>
      </c>
      <c r="H166">
        <v>3E+20</v>
      </c>
      <c r="I166">
        <v>1.25029008579126</v>
      </c>
      <c r="J166">
        <v>12.0027115267235</v>
      </c>
      <c r="K166">
        <v>683</v>
      </c>
      <c r="L166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3.7661591772463892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3.05178888852276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5.4245064283989102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1.1021083273538601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16.799531229886998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6" s="5">
        <f>IF((DiscreteStatsTable[[#This Row],[RepsRequested]]&gt;1),DiscreteStatsTable[[#This Row],[HalfWidth]],DiscreteStatsTable[[#This Row],[BatchMeansHalfWidth]])</f>
        <v>0.18957329568354728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>
      <c r="A167" t="s">
        <v>67</v>
      </c>
      <c r="B167" t="s">
        <v>70</v>
      </c>
      <c r="C167">
        <v>28</v>
      </c>
      <c r="D167" t="s">
        <v>71</v>
      </c>
      <c r="E167" t="s">
        <v>76</v>
      </c>
      <c r="F167" t="s">
        <v>73</v>
      </c>
      <c r="G167">
        <v>0</v>
      </c>
      <c r="H167">
        <v>0</v>
      </c>
      <c r="I167">
        <v>0</v>
      </c>
      <c r="J167">
        <v>0</v>
      </c>
      <c r="K167">
        <v>683</v>
      </c>
      <c r="L167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>
      <c r="A168" t="s">
        <v>67</v>
      </c>
      <c r="B168" t="s">
        <v>70</v>
      </c>
      <c r="C168">
        <v>28</v>
      </c>
      <c r="D168" t="s">
        <v>71</v>
      </c>
      <c r="E168" t="s">
        <v>77</v>
      </c>
      <c r="F168" t="s">
        <v>73</v>
      </c>
      <c r="G168">
        <v>2.14268828624812</v>
      </c>
      <c r="H168">
        <v>3.2662204318958901E-2</v>
      </c>
      <c r="I168">
        <v>1.18602866533172</v>
      </c>
      <c r="J168">
        <v>3.00479469152737</v>
      </c>
      <c r="K168">
        <v>683</v>
      </c>
      <c r="L168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2.1646069252698128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2.1409329879735002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2.2049521112294199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1.02131826584019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3.1565601386708799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8" s="5">
        <f>IF((DiscreteStatsTable[[#This Row],[RepsRequested]]&gt;1),DiscreteStatsTable[[#This Row],[HalfWidth]],DiscreteStatsTable[[#This Row],[BatchMeansHalfWidth]])</f>
        <v>5.4874180230031506E-3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>
      <c r="A169" t="s">
        <v>67</v>
      </c>
      <c r="B169" t="s">
        <v>70</v>
      </c>
      <c r="C169">
        <v>28</v>
      </c>
      <c r="D169" t="s">
        <v>71</v>
      </c>
      <c r="E169" t="s">
        <v>78</v>
      </c>
      <c r="F169" t="s">
        <v>73</v>
      </c>
      <c r="G169">
        <v>1.9334954986650099</v>
      </c>
      <c r="H169">
        <v>3E+20</v>
      </c>
      <c r="I169">
        <v>0</v>
      </c>
      <c r="J169">
        <v>10.062852858643</v>
      </c>
      <c r="K169">
        <v>683</v>
      </c>
      <c r="L169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1.6015522519765757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0.89357558090575995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3.2802088127851201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14.282258531030999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69" s="5">
        <f>IF((DiscreteStatsTable[[#This Row],[RepsRequested]]&gt;1),DiscreteStatsTable[[#This Row],[HalfWidth]],DiscreteStatsTable[[#This Row],[BatchMeansHalfWidth]])</f>
        <v>0.19051987014078101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>
      <c r="A170" t="s">
        <v>67</v>
      </c>
      <c r="B170" t="s">
        <v>70</v>
      </c>
      <c r="C170">
        <v>29</v>
      </c>
      <c r="D170" t="s">
        <v>71</v>
      </c>
      <c r="E170" t="s">
        <v>72</v>
      </c>
      <c r="F170" t="s">
        <v>73</v>
      </c>
      <c r="G170">
        <v>0</v>
      </c>
      <c r="H170">
        <v>0</v>
      </c>
      <c r="I170">
        <v>0</v>
      </c>
      <c r="J170">
        <v>0</v>
      </c>
      <c r="K170">
        <v>729</v>
      </c>
      <c r="L170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>
      <c r="A171" t="s">
        <v>67</v>
      </c>
      <c r="B171" t="s">
        <v>70</v>
      </c>
      <c r="C171">
        <v>29</v>
      </c>
      <c r="D171" t="s">
        <v>71</v>
      </c>
      <c r="E171" t="s">
        <v>74</v>
      </c>
      <c r="F171" t="s">
        <v>73</v>
      </c>
      <c r="G171">
        <v>0</v>
      </c>
      <c r="H171">
        <v>0</v>
      </c>
      <c r="I171">
        <v>0</v>
      </c>
      <c r="J171">
        <v>0</v>
      </c>
      <c r="K171">
        <v>729</v>
      </c>
      <c r="L171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>
      <c r="A172" t="s">
        <v>67</v>
      </c>
      <c r="B172" t="s">
        <v>70</v>
      </c>
      <c r="C172">
        <v>29</v>
      </c>
      <c r="D172" t="s">
        <v>71</v>
      </c>
      <c r="E172" t="s">
        <v>75</v>
      </c>
      <c r="F172" t="s">
        <v>73</v>
      </c>
      <c r="G172">
        <v>5.4245064283989102</v>
      </c>
      <c r="H172">
        <v>3E+20</v>
      </c>
      <c r="I172">
        <v>1.30826616138248</v>
      </c>
      <c r="J172">
        <v>16.799531229886998</v>
      </c>
      <c r="K172">
        <v>729</v>
      </c>
      <c r="L172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3.7661591772463892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3.05178888852276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5.4245064283989102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1.1021083273538601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16.799531229886998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2" s="5">
        <f>IF((DiscreteStatsTable[[#This Row],[RepsRequested]]&gt;1),DiscreteStatsTable[[#This Row],[HalfWidth]],DiscreteStatsTable[[#This Row],[BatchMeansHalfWidth]])</f>
        <v>0.18957329568354728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>
      <c r="A173" t="s">
        <v>67</v>
      </c>
      <c r="B173" t="s">
        <v>70</v>
      </c>
      <c r="C173">
        <v>29</v>
      </c>
      <c r="D173" t="s">
        <v>71</v>
      </c>
      <c r="E173" t="s">
        <v>76</v>
      </c>
      <c r="F173" t="s">
        <v>73</v>
      </c>
      <c r="G173">
        <v>0</v>
      </c>
      <c r="H173">
        <v>0</v>
      </c>
      <c r="I173">
        <v>0</v>
      </c>
      <c r="J173">
        <v>0</v>
      </c>
      <c r="K173">
        <v>729</v>
      </c>
      <c r="L173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>
      <c r="A174" t="s">
        <v>67</v>
      </c>
      <c r="B174" t="s">
        <v>70</v>
      </c>
      <c r="C174">
        <v>29</v>
      </c>
      <c r="D174" t="s">
        <v>71</v>
      </c>
      <c r="E174" t="s">
        <v>77</v>
      </c>
      <c r="F174" t="s">
        <v>73</v>
      </c>
      <c r="G174">
        <v>2.1442976156137901</v>
      </c>
      <c r="H174">
        <v>3E+20</v>
      </c>
      <c r="I174">
        <v>1.15784501403203</v>
      </c>
      <c r="J174">
        <v>2.9400670525255101</v>
      </c>
      <c r="K174">
        <v>729</v>
      </c>
      <c r="L174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2.1646069252698128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2.1409329879735002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2.2049521112294199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1.02131826584019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3.1565601386708799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4" s="5">
        <f>IF((DiscreteStatsTable[[#This Row],[RepsRequested]]&gt;1),DiscreteStatsTable[[#This Row],[HalfWidth]],DiscreteStatsTable[[#This Row],[BatchMeansHalfWidth]])</f>
        <v>5.4874180230031506E-3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>
      <c r="A175" t="s">
        <v>67</v>
      </c>
      <c r="B175" t="s">
        <v>70</v>
      </c>
      <c r="C175">
        <v>29</v>
      </c>
      <c r="D175" t="s">
        <v>71</v>
      </c>
      <c r="E175" t="s">
        <v>78</v>
      </c>
      <c r="F175" t="s">
        <v>73</v>
      </c>
      <c r="G175">
        <v>3.2802088127851201</v>
      </c>
      <c r="H175">
        <v>3E+20</v>
      </c>
      <c r="I175">
        <v>0</v>
      </c>
      <c r="J175">
        <v>14.282258531030999</v>
      </c>
      <c r="K175">
        <v>729</v>
      </c>
      <c r="L175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1.6015522519765757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0.89357558090575995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3.2802088127851201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14.282258531030999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5" s="5">
        <f>IF((DiscreteStatsTable[[#This Row],[RepsRequested]]&gt;1),DiscreteStatsTable[[#This Row],[HalfWidth]],DiscreteStatsTable[[#This Row],[BatchMeansHalfWidth]])</f>
        <v>0.19051987014078101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>
      <c r="A176" t="s">
        <v>67</v>
      </c>
      <c r="B176" t="s">
        <v>70</v>
      </c>
      <c r="C176">
        <v>30</v>
      </c>
      <c r="D176" t="s">
        <v>71</v>
      </c>
      <c r="E176" t="s">
        <v>72</v>
      </c>
      <c r="F176" t="s">
        <v>73</v>
      </c>
      <c r="G176">
        <v>0</v>
      </c>
      <c r="H176">
        <v>0</v>
      </c>
      <c r="I176">
        <v>0</v>
      </c>
      <c r="J176">
        <v>0</v>
      </c>
      <c r="K176">
        <v>675</v>
      </c>
      <c r="L176" s="5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>
      <c r="A177" t="s">
        <v>67</v>
      </c>
      <c r="B177" t="s">
        <v>70</v>
      </c>
      <c r="C177">
        <v>30</v>
      </c>
      <c r="D177" t="s">
        <v>71</v>
      </c>
      <c r="E177" t="s">
        <v>74</v>
      </c>
      <c r="F177" t="s">
        <v>73</v>
      </c>
      <c r="G177">
        <v>0</v>
      </c>
      <c r="H177">
        <v>0</v>
      </c>
      <c r="I177">
        <v>0</v>
      </c>
      <c r="J177">
        <v>0</v>
      </c>
      <c r="K177">
        <v>675</v>
      </c>
      <c r="L177" s="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>
      <c r="A178" t="s">
        <v>67</v>
      </c>
      <c r="B178" t="s">
        <v>70</v>
      </c>
      <c r="C178">
        <v>30</v>
      </c>
      <c r="D178" t="s">
        <v>71</v>
      </c>
      <c r="E178" t="s">
        <v>75</v>
      </c>
      <c r="F178" t="s">
        <v>73</v>
      </c>
      <c r="G178">
        <v>3.1082170930160999</v>
      </c>
      <c r="H178">
        <v>0.187267494405158</v>
      </c>
      <c r="I178">
        <v>1.35999945325182</v>
      </c>
      <c r="J178">
        <v>7.5602607139378497</v>
      </c>
      <c r="K178">
        <v>675</v>
      </c>
      <c r="L178" s="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3.7661591772463892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0.50768660989189007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0.18957329568354728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3.05178888852276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5.4245064283989102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1.1021083273538601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16.799531229886998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8" s="5">
        <f>IF((DiscreteStatsTable[[#This Row],[RepsRequested]]&gt;1),DiscreteStatsTable[[#This Row],[HalfWidth]],DiscreteStatsTable[[#This Row],[BatchMeansHalfWidth]])</f>
        <v>0.18957329568354728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>
      <c r="A179" t="s">
        <v>67</v>
      </c>
      <c r="B179" t="s">
        <v>70</v>
      </c>
      <c r="C179">
        <v>30</v>
      </c>
      <c r="D179" t="s">
        <v>71</v>
      </c>
      <c r="E179" t="s">
        <v>76</v>
      </c>
      <c r="F179" t="s">
        <v>73</v>
      </c>
      <c r="G179">
        <v>0</v>
      </c>
      <c r="H179">
        <v>0</v>
      </c>
      <c r="I179">
        <v>0</v>
      </c>
      <c r="J179">
        <v>0</v>
      </c>
      <c r="K179">
        <v>675</v>
      </c>
      <c r="L179" s="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>
      <c r="A180" t="s">
        <v>67</v>
      </c>
      <c r="B180" t="s">
        <v>70</v>
      </c>
      <c r="C180">
        <v>30</v>
      </c>
      <c r="D180" t="s">
        <v>71</v>
      </c>
      <c r="E180" t="s">
        <v>77</v>
      </c>
      <c r="F180" t="s">
        <v>73</v>
      </c>
      <c r="G180">
        <v>2.1849103472109301</v>
      </c>
      <c r="H180">
        <v>3.6678989287876398E-2</v>
      </c>
      <c r="I180">
        <v>1.1843361890926201</v>
      </c>
      <c r="J180">
        <v>2.9091297471629201</v>
      </c>
      <c r="K180">
        <v>675</v>
      </c>
      <c r="L180" s="5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2.1646069252698128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1.4695575361039154E-2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5.4874180230031506E-3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2.1409329879735002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2.2049521112294199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1.02131826584019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3.1565601386708799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80" s="5">
        <f>IF((DiscreteStatsTable[[#This Row],[RepsRequested]]&gt;1),DiscreteStatsTable[[#This Row],[HalfWidth]],DiscreteStatsTable[[#This Row],[BatchMeansHalfWidth]])</f>
        <v>5.4874180230031506E-3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>
      <c r="A181" t="s">
        <v>67</v>
      </c>
      <c r="B181" t="s">
        <v>70</v>
      </c>
      <c r="C181">
        <v>30</v>
      </c>
      <c r="D181" t="s">
        <v>71</v>
      </c>
      <c r="E181" t="s">
        <v>78</v>
      </c>
      <c r="F181" t="s">
        <v>73</v>
      </c>
      <c r="G181">
        <v>0.92330674580516803</v>
      </c>
      <c r="H181">
        <v>0.18583289369209899</v>
      </c>
      <c r="I181">
        <v>0</v>
      </c>
      <c r="J181">
        <v>5.1731286502891596</v>
      </c>
      <c r="K181">
        <v>675</v>
      </c>
      <c r="L181" s="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1.6015522519765757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0.51022158284507146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0.89357558090575995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3.2802088127851201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14.282258531030999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181" s="5">
        <f>IF((DiscreteStatsTable[[#This Row],[RepsRequested]]&gt;1),DiscreteStatsTable[[#This Row],[HalfWidth]],DiscreteStatsTable[[#This Row],[BatchMeansHalfWidth]])</f>
        <v>0.19051987014078101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>
      <c r="A182" t="s">
        <v>67</v>
      </c>
      <c r="B182" t="s">
        <v>70</v>
      </c>
      <c r="C182">
        <v>1</v>
      </c>
      <c r="D182" t="s">
        <v>79</v>
      </c>
      <c r="E182" t="s">
        <v>80</v>
      </c>
      <c r="F182" t="s">
        <v>81</v>
      </c>
      <c r="G182">
        <v>5.4806506025659403E-2</v>
      </c>
      <c r="H182">
        <v>2.0136444027779199E-2</v>
      </c>
      <c r="I182">
        <v>0</v>
      </c>
      <c r="J182">
        <v>0.722474902003853</v>
      </c>
      <c r="K182">
        <v>705</v>
      </c>
      <c r="L182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4.5345239120485908E-2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3.1674921671419901E-2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5.5478402117800897E-2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1.1571081900022799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680.6</v>
      </c>
      <c r="W182" s="5">
        <f>IF((DiscreteStatsTable[[#This Row],[RepsRequested]]&gt;1),DiscreteStatsTable[[#This Row],[HalfWidth]],DiscreteStatsTable[[#This Row],[BatchMeansHalfWidth]])</f>
        <v>2.3034273596197249E-3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>
      <c r="A183" t="s">
        <v>67</v>
      </c>
      <c r="B183" t="s">
        <v>70</v>
      </c>
      <c r="C183">
        <v>2</v>
      </c>
      <c r="D183" t="s">
        <v>79</v>
      </c>
      <c r="E183" t="s">
        <v>80</v>
      </c>
      <c r="F183" t="s">
        <v>81</v>
      </c>
      <c r="G183">
        <v>5.30885280560221E-2</v>
      </c>
      <c r="H183">
        <v>1.5266836147332701E-2</v>
      </c>
      <c r="I183">
        <v>0</v>
      </c>
      <c r="J183">
        <v>0.64426072415057001</v>
      </c>
      <c r="K183">
        <v>679</v>
      </c>
      <c r="L183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4.5345239120485908E-2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3.1674921671419901E-2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5.5478402117800897E-2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1.1571081900022799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680.6</v>
      </c>
      <c r="W183" s="5">
        <f>IF((DiscreteStatsTable[[#This Row],[RepsRequested]]&gt;1),DiscreteStatsTable[[#This Row],[HalfWidth]],DiscreteStatsTable[[#This Row],[BatchMeansHalfWidth]])</f>
        <v>2.3034273596197249E-3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>
      <c r="A184" t="s">
        <v>67</v>
      </c>
      <c r="B184" t="s">
        <v>70</v>
      </c>
      <c r="C184">
        <v>3</v>
      </c>
      <c r="D184" t="s">
        <v>79</v>
      </c>
      <c r="E184" t="s">
        <v>80</v>
      </c>
      <c r="F184" t="s">
        <v>81</v>
      </c>
      <c r="G184">
        <v>4.3049819335137698E-2</v>
      </c>
      <c r="H184">
        <v>1.7584572026146598E-2</v>
      </c>
      <c r="I184">
        <v>0</v>
      </c>
      <c r="J184">
        <v>0.95063856845155204</v>
      </c>
      <c r="K184">
        <v>661</v>
      </c>
      <c r="L184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4.5345239120485908E-2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3.1674921671419901E-2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5.5478402117800897E-2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1.1571081900022799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680.6</v>
      </c>
      <c r="W184" s="5">
        <f>IF((DiscreteStatsTable[[#This Row],[RepsRequested]]&gt;1),DiscreteStatsTable[[#This Row],[HalfWidth]],DiscreteStatsTable[[#This Row],[BatchMeansHalfWidth]])</f>
        <v>2.3034273596197249E-3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>
      <c r="A185" t="s">
        <v>67</v>
      </c>
      <c r="B185" t="s">
        <v>70</v>
      </c>
      <c r="C185">
        <v>4</v>
      </c>
      <c r="D185" t="s">
        <v>79</v>
      </c>
      <c r="E185" t="s">
        <v>80</v>
      </c>
      <c r="F185" t="s">
        <v>81</v>
      </c>
      <c r="G185">
        <v>4.6342814593743398E-2</v>
      </c>
      <c r="H185">
        <v>1.4987223530482501E-2</v>
      </c>
      <c r="I185">
        <v>0</v>
      </c>
      <c r="J185">
        <v>0.87214380385267998</v>
      </c>
      <c r="K185">
        <v>698</v>
      </c>
      <c r="L185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4.5345239120485908E-2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3.1674921671419901E-2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5.5478402117800897E-2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1.1571081900022799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680.6</v>
      </c>
      <c r="W185" s="5">
        <f>IF((DiscreteStatsTable[[#This Row],[RepsRequested]]&gt;1),DiscreteStatsTable[[#This Row],[HalfWidth]],DiscreteStatsTable[[#This Row],[BatchMeansHalfWidth]])</f>
        <v>2.3034273596197249E-3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>
      <c r="A186" t="s">
        <v>67</v>
      </c>
      <c r="B186" t="s">
        <v>70</v>
      </c>
      <c r="C186">
        <v>5</v>
      </c>
      <c r="D186" t="s">
        <v>79</v>
      </c>
      <c r="E186" t="s">
        <v>80</v>
      </c>
      <c r="F186" t="s">
        <v>81</v>
      </c>
      <c r="G186">
        <v>5.1886965016412302E-2</v>
      </c>
      <c r="H186">
        <v>1.4445360129800799E-2</v>
      </c>
      <c r="I186">
        <v>0</v>
      </c>
      <c r="J186">
        <v>0.75617847099634605</v>
      </c>
      <c r="K186">
        <v>702</v>
      </c>
      <c r="L186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4.5345239120485908E-2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3.1674921671419901E-2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5.5478402117800897E-2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1.1571081900022799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680.6</v>
      </c>
      <c r="W186" s="5">
        <f>IF((DiscreteStatsTable[[#This Row],[RepsRequested]]&gt;1),DiscreteStatsTable[[#This Row],[HalfWidth]],DiscreteStatsTable[[#This Row],[BatchMeansHalfWidth]])</f>
        <v>2.3034273596197249E-3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>
      <c r="A187" t="s">
        <v>67</v>
      </c>
      <c r="B187" t="s">
        <v>70</v>
      </c>
      <c r="C187">
        <v>6</v>
      </c>
      <c r="D187" t="s">
        <v>79</v>
      </c>
      <c r="E187" t="s">
        <v>80</v>
      </c>
      <c r="F187" t="s">
        <v>81</v>
      </c>
      <c r="G187">
        <v>3.8679320377810897E-2</v>
      </c>
      <c r="H187">
        <v>9.1375373763251198E-3</v>
      </c>
      <c r="I187">
        <v>0</v>
      </c>
      <c r="J187">
        <v>0.586783669964973</v>
      </c>
      <c r="K187">
        <v>660</v>
      </c>
      <c r="L187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4.5345239120485908E-2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3.1674921671419901E-2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5.5478402117800897E-2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1.1571081900022799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680.6</v>
      </c>
      <c r="W187" s="5">
        <f>IF((DiscreteStatsTable[[#This Row],[RepsRequested]]&gt;1),DiscreteStatsTable[[#This Row],[HalfWidth]],DiscreteStatsTable[[#This Row],[BatchMeansHalfWidth]])</f>
        <v>2.3034273596197249E-3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>
      <c r="A188" t="s">
        <v>67</v>
      </c>
      <c r="B188" t="s">
        <v>70</v>
      </c>
      <c r="C188">
        <v>7</v>
      </c>
      <c r="D188" t="s">
        <v>79</v>
      </c>
      <c r="E188" t="s">
        <v>80</v>
      </c>
      <c r="F188" t="s">
        <v>81</v>
      </c>
      <c r="G188">
        <v>4.4979831646228201E-2</v>
      </c>
      <c r="H188">
        <v>1.0867811961451699E-2</v>
      </c>
      <c r="I188">
        <v>0</v>
      </c>
      <c r="J188">
        <v>0.86555312796400596</v>
      </c>
      <c r="K188">
        <v>708</v>
      </c>
      <c r="L188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4.5345239120485908E-2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3.1674921671419901E-2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5.5478402117800897E-2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1.1571081900022799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680.6</v>
      </c>
      <c r="W188" s="5">
        <f>IF((DiscreteStatsTable[[#This Row],[RepsRequested]]&gt;1),DiscreteStatsTable[[#This Row],[HalfWidth]],DiscreteStatsTable[[#This Row],[BatchMeansHalfWidth]])</f>
        <v>2.3034273596197249E-3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>
      <c r="A189" t="s">
        <v>67</v>
      </c>
      <c r="B189" t="s">
        <v>70</v>
      </c>
      <c r="C189">
        <v>8</v>
      </c>
      <c r="D189" t="s">
        <v>79</v>
      </c>
      <c r="E189" t="s">
        <v>80</v>
      </c>
      <c r="F189" t="s">
        <v>81</v>
      </c>
      <c r="G189">
        <v>4.3183735491145299E-2</v>
      </c>
      <c r="H189">
        <v>1.73553002258987E-2</v>
      </c>
      <c r="I189">
        <v>0</v>
      </c>
      <c r="J189">
        <v>0.75003854696044703</v>
      </c>
      <c r="K189">
        <v>664</v>
      </c>
      <c r="L189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4.5345239120485908E-2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3.1674921671419901E-2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5.5478402117800897E-2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1.1571081900022799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680.6</v>
      </c>
      <c r="W189" s="5">
        <f>IF((DiscreteStatsTable[[#This Row],[RepsRequested]]&gt;1),DiscreteStatsTable[[#This Row],[HalfWidth]],DiscreteStatsTable[[#This Row],[BatchMeansHalfWidth]])</f>
        <v>2.3034273596197249E-3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>
      <c r="A190" t="s">
        <v>67</v>
      </c>
      <c r="B190" t="s">
        <v>70</v>
      </c>
      <c r="C190">
        <v>9</v>
      </c>
      <c r="D190" t="s">
        <v>79</v>
      </c>
      <c r="E190" t="s">
        <v>80</v>
      </c>
      <c r="F190" t="s">
        <v>81</v>
      </c>
      <c r="G190">
        <v>3.1674921671419901E-2</v>
      </c>
      <c r="H190">
        <v>9.7755310889828303E-3</v>
      </c>
      <c r="I190">
        <v>0</v>
      </c>
      <c r="J190">
        <v>0.54518717098196101</v>
      </c>
      <c r="K190">
        <v>650</v>
      </c>
      <c r="L190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4.5345239120485908E-2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3.1674921671419901E-2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5.5478402117800897E-2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1.1571081900022799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680.6</v>
      </c>
      <c r="W190" s="5">
        <f>IF((DiscreteStatsTable[[#This Row],[RepsRequested]]&gt;1),DiscreteStatsTable[[#This Row],[HalfWidth]],DiscreteStatsTable[[#This Row],[BatchMeansHalfWidth]])</f>
        <v>2.3034273596197249E-3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>
      <c r="A191" t="s">
        <v>67</v>
      </c>
      <c r="B191" t="s">
        <v>70</v>
      </c>
      <c r="C191">
        <v>10</v>
      </c>
      <c r="D191" t="s">
        <v>79</v>
      </c>
      <c r="E191" t="s">
        <v>80</v>
      </c>
      <c r="F191" t="s">
        <v>81</v>
      </c>
      <c r="G191">
        <v>4.6207157351079498E-2</v>
      </c>
      <c r="H191">
        <v>1.7198092325175302E-2</v>
      </c>
      <c r="I191">
        <v>0</v>
      </c>
      <c r="J191">
        <v>1.1571081900022799</v>
      </c>
      <c r="K191">
        <v>672</v>
      </c>
      <c r="L191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4.5345239120485908E-2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3.1674921671419901E-2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5.5478402117800897E-2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1.1571081900022799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680.6</v>
      </c>
      <c r="W191" s="5">
        <f>IF((DiscreteStatsTable[[#This Row],[RepsRequested]]&gt;1),DiscreteStatsTable[[#This Row],[HalfWidth]],DiscreteStatsTable[[#This Row],[BatchMeansHalfWidth]])</f>
        <v>2.3034273596197249E-3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>
      <c r="A192" t="s">
        <v>67</v>
      </c>
      <c r="B192" t="s">
        <v>70</v>
      </c>
      <c r="C192">
        <v>11</v>
      </c>
      <c r="D192" t="s">
        <v>79</v>
      </c>
      <c r="E192" t="s">
        <v>80</v>
      </c>
      <c r="F192" t="s">
        <v>81</v>
      </c>
      <c r="G192">
        <v>4.8431804764320803E-2</v>
      </c>
      <c r="H192">
        <v>1.3754335598317E-2</v>
      </c>
      <c r="I192">
        <v>0</v>
      </c>
      <c r="J192">
        <v>0.68643977781508203</v>
      </c>
      <c r="K192">
        <v>669</v>
      </c>
      <c r="L192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4.5345239120485908E-2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3.1674921671419901E-2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5.5478402117800897E-2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1.1571081900022799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680.6</v>
      </c>
      <c r="W192" s="5">
        <f>IF((DiscreteStatsTable[[#This Row],[RepsRequested]]&gt;1),DiscreteStatsTable[[#This Row],[HalfWidth]],DiscreteStatsTable[[#This Row],[BatchMeansHalfWidth]])</f>
        <v>2.3034273596197249E-3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>
      <c r="A193" t="s">
        <v>67</v>
      </c>
      <c r="B193" t="s">
        <v>70</v>
      </c>
      <c r="C193">
        <v>12</v>
      </c>
      <c r="D193" t="s">
        <v>79</v>
      </c>
      <c r="E193" t="s">
        <v>80</v>
      </c>
      <c r="F193" t="s">
        <v>81</v>
      </c>
      <c r="G193">
        <v>4.5332905855238997E-2</v>
      </c>
      <c r="H193">
        <v>1.53500814037109E-2</v>
      </c>
      <c r="I193">
        <v>0</v>
      </c>
      <c r="J193">
        <v>0.84715558125753898</v>
      </c>
      <c r="K193">
        <v>697</v>
      </c>
      <c r="L193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4.5345239120485908E-2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3.1674921671419901E-2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5.5478402117800897E-2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1.1571081900022799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680.6</v>
      </c>
      <c r="W193" s="5">
        <f>IF((DiscreteStatsTable[[#This Row],[RepsRequested]]&gt;1),DiscreteStatsTable[[#This Row],[HalfWidth]],DiscreteStatsTable[[#This Row],[BatchMeansHalfWidth]])</f>
        <v>2.3034273596197249E-3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>
      <c r="A194" t="s">
        <v>67</v>
      </c>
      <c r="B194" t="s">
        <v>70</v>
      </c>
      <c r="C194">
        <v>13</v>
      </c>
      <c r="D194" t="s">
        <v>79</v>
      </c>
      <c r="E194" t="s">
        <v>80</v>
      </c>
      <c r="F194" t="s">
        <v>81</v>
      </c>
      <c r="G194">
        <v>3.4467115709068699E-2</v>
      </c>
      <c r="H194">
        <v>9.7019106090154399E-3</v>
      </c>
      <c r="I194">
        <v>0</v>
      </c>
      <c r="J194">
        <v>0.634689889319759</v>
      </c>
      <c r="K194">
        <v>648</v>
      </c>
      <c r="L194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4.5345239120485908E-2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3.1674921671419901E-2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5.5478402117800897E-2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1.1571081900022799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680.6</v>
      </c>
      <c r="W194" s="5">
        <f>IF((DiscreteStatsTable[[#This Row],[RepsRequested]]&gt;1),DiscreteStatsTable[[#This Row],[HalfWidth]],DiscreteStatsTable[[#This Row],[BatchMeansHalfWidth]])</f>
        <v>2.3034273596197249E-3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>
      <c r="A195" t="s">
        <v>67</v>
      </c>
      <c r="B195" t="s">
        <v>70</v>
      </c>
      <c r="C195">
        <v>14</v>
      </c>
      <c r="D195" t="s">
        <v>79</v>
      </c>
      <c r="E195" t="s">
        <v>80</v>
      </c>
      <c r="F195" t="s">
        <v>81</v>
      </c>
      <c r="G195">
        <v>4.2771554367129302E-2</v>
      </c>
      <c r="H195">
        <v>1.36826086264508E-2</v>
      </c>
      <c r="I195">
        <v>0</v>
      </c>
      <c r="J195">
        <v>0.64708320000443098</v>
      </c>
      <c r="K195">
        <v>691</v>
      </c>
      <c r="L195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4.5345239120485908E-2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3.1674921671419901E-2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5.5478402117800897E-2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1.1571081900022799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680.6</v>
      </c>
      <c r="W195" s="5">
        <f>IF((DiscreteStatsTable[[#This Row],[RepsRequested]]&gt;1),DiscreteStatsTable[[#This Row],[HalfWidth]],DiscreteStatsTable[[#This Row],[BatchMeansHalfWidth]])</f>
        <v>2.3034273596197249E-3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>
      <c r="A196" t="s">
        <v>67</v>
      </c>
      <c r="B196" t="s">
        <v>70</v>
      </c>
      <c r="C196">
        <v>15</v>
      </c>
      <c r="D196" t="s">
        <v>79</v>
      </c>
      <c r="E196" t="s">
        <v>80</v>
      </c>
      <c r="F196" t="s">
        <v>81</v>
      </c>
      <c r="G196">
        <v>5.5478402117800897E-2</v>
      </c>
      <c r="H196">
        <v>1.33018389159091E-2</v>
      </c>
      <c r="I196">
        <v>0</v>
      </c>
      <c r="J196">
        <v>0.96935823002712596</v>
      </c>
      <c r="K196">
        <v>699</v>
      </c>
      <c r="L196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4.5345239120485908E-2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3.1674921671419901E-2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5.5478402117800897E-2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1.1571081900022799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680.6</v>
      </c>
      <c r="W196" s="5">
        <f>IF((DiscreteStatsTable[[#This Row],[RepsRequested]]&gt;1),DiscreteStatsTable[[#This Row],[HalfWidth]],DiscreteStatsTable[[#This Row],[BatchMeansHalfWidth]])</f>
        <v>2.3034273596197249E-3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>
      <c r="A197" t="s">
        <v>67</v>
      </c>
      <c r="B197" t="s">
        <v>70</v>
      </c>
      <c r="C197">
        <v>16</v>
      </c>
      <c r="D197" t="s">
        <v>79</v>
      </c>
      <c r="E197" t="s">
        <v>80</v>
      </c>
      <c r="F197" t="s">
        <v>81</v>
      </c>
      <c r="G197">
        <v>4.5600940895824803E-2</v>
      </c>
      <c r="H197">
        <v>1.21582871703138E-2</v>
      </c>
      <c r="I197">
        <v>0</v>
      </c>
      <c r="J197">
        <v>0.68141156337327402</v>
      </c>
      <c r="K197">
        <v>706</v>
      </c>
      <c r="L197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4.5345239120485908E-2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3.1674921671419901E-2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5.5478402117800897E-2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1.1571081900022799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680.6</v>
      </c>
      <c r="W197" s="5">
        <f>IF((DiscreteStatsTable[[#This Row],[RepsRequested]]&gt;1),DiscreteStatsTable[[#This Row],[HalfWidth]],DiscreteStatsTable[[#This Row],[BatchMeansHalfWidth]])</f>
        <v>2.3034273596197249E-3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>
      <c r="A198" t="s">
        <v>67</v>
      </c>
      <c r="B198" t="s">
        <v>70</v>
      </c>
      <c r="C198">
        <v>17</v>
      </c>
      <c r="D198" t="s">
        <v>79</v>
      </c>
      <c r="E198" t="s">
        <v>80</v>
      </c>
      <c r="F198" t="s">
        <v>81</v>
      </c>
      <c r="G198">
        <v>4.77443992352094E-2</v>
      </c>
      <c r="H198">
        <v>1.7709184359645299E-2</v>
      </c>
      <c r="I198">
        <v>0</v>
      </c>
      <c r="J198">
        <v>0.81015947013727896</v>
      </c>
      <c r="K198">
        <v>678</v>
      </c>
      <c r="L198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4.5345239120485908E-2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3.1674921671419901E-2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5.5478402117800897E-2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1.1571081900022799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680.6</v>
      </c>
      <c r="W198" s="5">
        <f>IF((DiscreteStatsTable[[#This Row],[RepsRequested]]&gt;1),DiscreteStatsTable[[#This Row],[HalfWidth]],DiscreteStatsTable[[#This Row],[BatchMeansHalfWidth]])</f>
        <v>2.3034273596197249E-3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>
      <c r="A199" t="s">
        <v>67</v>
      </c>
      <c r="B199" t="s">
        <v>70</v>
      </c>
      <c r="C199">
        <v>18</v>
      </c>
      <c r="D199" t="s">
        <v>79</v>
      </c>
      <c r="E199" t="s">
        <v>80</v>
      </c>
      <c r="F199" t="s">
        <v>81</v>
      </c>
      <c r="G199">
        <v>4.5476888679010202E-2</v>
      </c>
      <c r="H199">
        <v>1.2992978831763501E-2</v>
      </c>
      <c r="I199">
        <v>0</v>
      </c>
      <c r="J199">
        <v>0.70979379056788605</v>
      </c>
      <c r="K199">
        <v>648</v>
      </c>
      <c r="L199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4.5345239120485908E-2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3.1674921671419901E-2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5.5478402117800897E-2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1.1571081900022799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680.6</v>
      </c>
      <c r="W199" s="5">
        <f>IF((DiscreteStatsTable[[#This Row],[RepsRequested]]&gt;1),DiscreteStatsTable[[#This Row],[HalfWidth]],DiscreteStatsTable[[#This Row],[BatchMeansHalfWidth]])</f>
        <v>2.3034273596197249E-3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>
      <c r="A200" t="s">
        <v>67</v>
      </c>
      <c r="B200" t="s">
        <v>70</v>
      </c>
      <c r="C200">
        <v>19</v>
      </c>
      <c r="D200" t="s">
        <v>79</v>
      </c>
      <c r="E200" t="s">
        <v>80</v>
      </c>
      <c r="F200" t="s">
        <v>81</v>
      </c>
      <c r="G200">
        <v>3.4559876624612997E-2</v>
      </c>
      <c r="H200">
        <v>3E+20</v>
      </c>
      <c r="I200">
        <v>0</v>
      </c>
      <c r="J200">
        <v>0.63563188604717902</v>
      </c>
      <c r="K200">
        <v>691</v>
      </c>
      <c r="L200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4.5345239120485908E-2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3.1674921671419901E-2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5.5478402117800897E-2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1.1571081900022799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680.6</v>
      </c>
      <c r="W200" s="5">
        <f>IF((DiscreteStatsTable[[#This Row],[RepsRequested]]&gt;1),DiscreteStatsTable[[#This Row],[HalfWidth]],DiscreteStatsTable[[#This Row],[BatchMeansHalfWidth]])</f>
        <v>2.3034273596197249E-3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>
      <c r="A201" t="s">
        <v>67</v>
      </c>
      <c r="B201" t="s">
        <v>70</v>
      </c>
      <c r="C201">
        <v>20</v>
      </c>
      <c r="D201" t="s">
        <v>79</v>
      </c>
      <c r="E201" t="s">
        <v>80</v>
      </c>
      <c r="F201" t="s">
        <v>81</v>
      </c>
      <c r="G201">
        <v>3.6953020544779697E-2</v>
      </c>
      <c r="H201">
        <v>1.39317330503593E-2</v>
      </c>
      <c r="I201">
        <v>0</v>
      </c>
      <c r="J201">
        <v>0.65946342109015199</v>
      </c>
      <c r="K201">
        <v>641</v>
      </c>
      <c r="L201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4.5345239120485908E-2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3.1674921671419901E-2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5.5478402117800897E-2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1.1571081900022799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680.6</v>
      </c>
      <c r="W201" s="5">
        <f>IF((DiscreteStatsTable[[#This Row],[RepsRequested]]&gt;1),DiscreteStatsTable[[#This Row],[HalfWidth]],DiscreteStatsTable[[#This Row],[BatchMeansHalfWidth]])</f>
        <v>2.3034273596197249E-3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>
      <c r="A202" t="s">
        <v>67</v>
      </c>
      <c r="B202" t="s">
        <v>70</v>
      </c>
      <c r="C202">
        <v>21</v>
      </c>
      <c r="D202" t="s">
        <v>79</v>
      </c>
      <c r="E202" t="s">
        <v>80</v>
      </c>
      <c r="F202" t="s">
        <v>81</v>
      </c>
      <c r="G202">
        <v>5.3254791029035797E-2</v>
      </c>
      <c r="H202">
        <v>1.7827417707625502E-2</v>
      </c>
      <c r="I202">
        <v>0</v>
      </c>
      <c r="J202">
        <v>0.70122049263041197</v>
      </c>
      <c r="K202">
        <v>678</v>
      </c>
      <c r="L202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4.5345239120485908E-2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3.1674921671419901E-2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5.5478402117800897E-2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1.1571081900022799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680.6</v>
      </c>
      <c r="W202" s="5">
        <f>IF((DiscreteStatsTable[[#This Row],[RepsRequested]]&gt;1),DiscreteStatsTable[[#This Row],[HalfWidth]],DiscreteStatsTable[[#This Row],[BatchMeansHalfWidth]])</f>
        <v>2.3034273596197249E-3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>
      <c r="A203" t="s">
        <v>67</v>
      </c>
      <c r="B203" t="s">
        <v>70</v>
      </c>
      <c r="C203">
        <v>22</v>
      </c>
      <c r="D203" t="s">
        <v>79</v>
      </c>
      <c r="E203" t="s">
        <v>80</v>
      </c>
      <c r="F203" t="s">
        <v>81</v>
      </c>
      <c r="G203">
        <v>4.2952947931466999E-2</v>
      </c>
      <c r="H203">
        <v>3E+20</v>
      </c>
      <c r="I203">
        <v>0</v>
      </c>
      <c r="J203">
        <v>0.73216312017907403</v>
      </c>
      <c r="K203">
        <v>664</v>
      </c>
      <c r="L203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4.5345239120485908E-2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3.1674921671419901E-2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5.5478402117800897E-2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1.1571081900022799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680.6</v>
      </c>
      <c r="W203" s="5">
        <f>IF((DiscreteStatsTable[[#This Row],[RepsRequested]]&gt;1),DiscreteStatsTable[[#This Row],[HalfWidth]],DiscreteStatsTable[[#This Row],[BatchMeansHalfWidth]])</f>
        <v>2.3034273596197249E-3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>
      <c r="A204" t="s">
        <v>67</v>
      </c>
      <c r="B204" t="s">
        <v>70</v>
      </c>
      <c r="C204">
        <v>23</v>
      </c>
      <c r="D204" t="s">
        <v>79</v>
      </c>
      <c r="E204" t="s">
        <v>80</v>
      </c>
      <c r="F204" t="s">
        <v>81</v>
      </c>
      <c r="G204">
        <v>5.4931155930932403E-2</v>
      </c>
      <c r="H204">
        <v>1.9649552158566501E-2</v>
      </c>
      <c r="I204">
        <v>0</v>
      </c>
      <c r="J204">
        <v>0.75174889770565301</v>
      </c>
      <c r="K204">
        <v>718</v>
      </c>
      <c r="L204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4.5345239120485908E-2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3.1674921671419901E-2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5.5478402117800897E-2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1.1571081900022799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680.6</v>
      </c>
      <c r="W204" s="5">
        <f>IF((DiscreteStatsTable[[#This Row],[RepsRequested]]&gt;1),DiscreteStatsTable[[#This Row],[HalfWidth]],DiscreteStatsTable[[#This Row],[BatchMeansHalfWidth]])</f>
        <v>2.3034273596197249E-3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>
      <c r="A205" t="s">
        <v>67</v>
      </c>
      <c r="B205" t="s">
        <v>70</v>
      </c>
      <c r="C205">
        <v>24</v>
      </c>
      <c r="D205" t="s">
        <v>79</v>
      </c>
      <c r="E205" t="s">
        <v>80</v>
      </c>
      <c r="F205" t="s">
        <v>81</v>
      </c>
      <c r="G205">
        <v>4.6038914646687801E-2</v>
      </c>
      <c r="H205">
        <v>1.87554459542532E-2</v>
      </c>
      <c r="I205">
        <v>0</v>
      </c>
      <c r="J205">
        <v>0.92502658756137601</v>
      </c>
      <c r="K205">
        <v>661</v>
      </c>
      <c r="L205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4.5345239120485908E-2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3.1674921671419901E-2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5.5478402117800897E-2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1.1571081900022799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680.6</v>
      </c>
      <c r="W205" s="5">
        <f>IF((DiscreteStatsTable[[#This Row],[RepsRequested]]&gt;1),DiscreteStatsTable[[#This Row],[HalfWidth]],DiscreteStatsTable[[#This Row],[BatchMeansHalfWidth]])</f>
        <v>2.3034273596197249E-3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>
      <c r="A206" t="s">
        <v>67</v>
      </c>
      <c r="B206" t="s">
        <v>70</v>
      </c>
      <c r="C206">
        <v>25</v>
      </c>
      <c r="D206" t="s">
        <v>79</v>
      </c>
      <c r="E206" t="s">
        <v>80</v>
      </c>
      <c r="F206" t="s">
        <v>81</v>
      </c>
      <c r="G206">
        <v>5.07072379759647E-2</v>
      </c>
      <c r="H206">
        <v>3E+20</v>
      </c>
      <c r="I206">
        <v>0</v>
      </c>
      <c r="J206">
        <v>0.71740846254675705</v>
      </c>
      <c r="K206">
        <v>701</v>
      </c>
      <c r="L206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4.5345239120485908E-2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3.1674921671419901E-2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5.5478402117800897E-2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1.1571081900022799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680.6</v>
      </c>
      <c r="W206" s="5">
        <f>IF((DiscreteStatsTable[[#This Row],[RepsRequested]]&gt;1),DiscreteStatsTable[[#This Row],[HalfWidth]],DiscreteStatsTable[[#This Row],[BatchMeansHalfWidth]])</f>
        <v>2.3034273596197249E-3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>
      <c r="A207" t="s">
        <v>67</v>
      </c>
      <c r="B207" t="s">
        <v>70</v>
      </c>
      <c r="C207">
        <v>26</v>
      </c>
      <c r="D207" t="s">
        <v>79</v>
      </c>
      <c r="E207" t="s">
        <v>80</v>
      </c>
      <c r="F207" t="s">
        <v>81</v>
      </c>
      <c r="G207">
        <v>4.3523929724170997E-2</v>
      </c>
      <c r="H207">
        <v>1.6713525335741601E-2</v>
      </c>
      <c r="I207">
        <v>0</v>
      </c>
      <c r="J207">
        <v>0.74173381143026496</v>
      </c>
      <c r="K207">
        <v>703</v>
      </c>
      <c r="L207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4.5345239120485908E-2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3.1674921671419901E-2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5.5478402117800897E-2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1.1571081900022799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680.6</v>
      </c>
      <c r="W207" s="5">
        <f>IF((DiscreteStatsTable[[#This Row],[RepsRequested]]&gt;1),DiscreteStatsTable[[#This Row],[HalfWidth]],DiscreteStatsTable[[#This Row],[BatchMeansHalfWidth]])</f>
        <v>2.3034273596197249E-3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>
      <c r="A208" t="s">
        <v>67</v>
      </c>
      <c r="B208" t="s">
        <v>70</v>
      </c>
      <c r="C208">
        <v>27</v>
      </c>
      <c r="D208" t="s">
        <v>79</v>
      </c>
      <c r="E208" t="s">
        <v>80</v>
      </c>
      <c r="F208" t="s">
        <v>81</v>
      </c>
      <c r="G208">
        <v>4.1661021553251999E-2</v>
      </c>
      <c r="H208">
        <v>1.27164752181184E-2</v>
      </c>
      <c r="I208">
        <v>0</v>
      </c>
      <c r="J208">
        <v>0.63781272414882995</v>
      </c>
      <c r="K208">
        <v>634</v>
      </c>
      <c r="L208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4.5345239120485908E-2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3.1674921671419901E-2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5.5478402117800897E-2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1.1571081900022799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680.6</v>
      </c>
      <c r="W208" s="5">
        <f>IF((DiscreteStatsTable[[#This Row],[RepsRequested]]&gt;1),DiscreteStatsTable[[#This Row],[HalfWidth]],DiscreteStatsTable[[#This Row],[BatchMeansHalfWidth]])</f>
        <v>2.3034273596197249E-3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>
      <c r="A209" t="s">
        <v>67</v>
      </c>
      <c r="B209" t="s">
        <v>70</v>
      </c>
      <c r="C209">
        <v>28</v>
      </c>
      <c r="D209" t="s">
        <v>79</v>
      </c>
      <c r="E209" t="s">
        <v>80</v>
      </c>
      <c r="F209" t="s">
        <v>81</v>
      </c>
      <c r="G209">
        <v>4.6649231851711E-2</v>
      </c>
      <c r="H209">
        <v>1.65516572462008E-2</v>
      </c>
      <c r="I209">
        <v>0</v>
      </c>
      <c r="J209">
        <v>0.74227222499592904</v>
      </c>
      <c r="K209">
        <v>684</v>
      </c>
      <c r="L209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4.5345239120485908E-2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3.1674921671419901E-2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5.5478402117800897E-2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1.1571081900022799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680.6</v>
      </c>
      <c r="W209" s="5">
        <f>IF((DiscreteStatsTable[[#This Row],[RepsRequested]]&gt;1),DiscreteStatsTable[[#This Row],[HalfWidth]],DiscreteStatsTable[[#This Row],[BatchMeansHalfWidth]])</f>
        <v>2.3034273596197249E-3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>
      <c r="A210" t="s">
        <v>67</v>
      </c>
      <c r="B210" t="s">
        <v>70</v>
      </c>
      <c r="C210">
        <v>29</v>
      </c>
      <c r="D210" t="s">
        <v>79</v>
      </c>
      <c r="E210" t="s">
        <v>80</v>
      </c>
      <c r="F210" t="s">
        <v>81</v>
      </c>
      <c r="G210">
        <v>4.10821424232162E-2</v>
      </c>
      <c r="H210">
        <v>7.83600284531372E-3</v>
      </c>
      <c r="I210">
        <v>0</v>
      </c>
      <c r="J210">
        <v>0.64108633287955297</v>
      </c>
      <c r="K210">
        <v>731</v>
      </c>
      <c r="L210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4.5345239120485908E-2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3.1674921671419901E-2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5.5478402117800897E-2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1.1571081900022799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680.6</v>
      </c>
      <c r="W210" s="5">
        <f>IF((DiscreteStatsTable[[#This Row],[RepsRequested]]&gt;1),DiscreteStatsTable[[#This Row],[HalfWidth]],DiscreteStatsTable[[#This Row],[BatchMeansHalfWidth]])</f>
        <v>2.3034273596197249E-3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>
      <c r="A211" t="s">
        <v>67</v>
      </c>
      <c r="B211" t="s">
        <v>70</v>
      </c>
      <c r="C211">
        <v>30</v>
      </c>
      <c r="D211" t="s">
        <v>79</v>
      </c>
      <c r="E211" t="s">
        <v>80</v>
      </c>
      <c r="F211" t="s">
        <v>81</v>
      </c>
      <c r="G211">
        <v>4.8839292190484801E-2</v>
      </c>
      <c r="H211">
        <v>1.5567038911022299E-2</v>
      </c>
      <c r="I211">
        <v>0</v>
      </c>
      <c r="J211">
        <v>0.69570032586761998</v>
      </c>
      <c r="K211">
        <v>677</v>
      </c>
      <c r="L211" s="5" t="str">
        <f>DiscreteStatsTable[[#This Row],[ProjectName]]&amp;DiscreteStatsTable[[#This Row],[Name]]&amp;DiscreteStatsTable[[#This Row],[Type]]&amp;DiscreteStatsTable[[#This Row],[Source]]</f>
        <v>Unnamed ProjectEsperar Pedido.QueueWaiting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4.5345239120485908E-2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6.1686917617851883E-3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2.3034273596197249E-3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3.1674921671419901E-2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5.5478402117800897E-2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1.1571081900022799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680.6</v>
      </c>
      <c r="W211" s="5">
        <f>IF((DiscreteStatsTable[[#This Row],[RepsRequested]]&gt;1),DiscreteStatsTable[[#This Row],[HalfWidth]],DiscreteStatsTable[[#This Row],[BatchMeansHalfWidth]])</f>
        <v>2.3034273596197249E-3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  <row r="212" spans="1:25">
      <c r="A212" t="s">
        <v>67</v>
      </c>
      <c r="B212" t="s">
        <v>70</v>
      </c>
      <c r="C212">
        <v>1</v>
      </c>
      <c r="D212" t="s">
        <v>82</v>
      </c>
      <c r="E212" t="s">
        <v>80</v>
      </c>
      <c r="F212" t="s">
        <v>81</v>
      </c>
      <c r="G212">
        <v>1.61448800108035</v>
      </c>
      <c r="H212">
        <v>3E+20</v>
      </c>
      <c r="I212">
        <v>0</v>
      </c>
      <c r="J212">
        <v>6.8924794745231601</v>
      </c>
      <c r="K212">
        <v>707</v>
      </c>
      <c r="L212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30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1.557272958111948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0.85573159178621905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3.2591534503304098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14.282258531030999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12" s="5">
        <f>IF((DiscreteStatsTable[[#This Row],[RepsRequested]]&gt;1),DiscreteStatsTable[[#This Row],[HalfWidth]],DiscreteStatsTable[[#This Row],[BatchMeansHalfWidth]])</f>
        <v>0.1901222215889217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30</v>
      </c>
      <c r="Y212" s="5">
        <f>IF(DiscreteStatsTable[[#This Row],[RepsRequested]]=DiscreteStatsTable[[#This Row],[RepsWithStatObserved]],1,0)</f>
        <v>1</v>
      </c>
    </row>
    <row r="213" spans="1:25">
      <c r="A213" t="s">
        <v>67</v>
      </c>
      <c r="B213" t="s">
        <v>70</v>
      </c>
      <c r="C213">
        <v>2</v>
      </c>
      <c r="D213" t="s">
        <v>82</v>
      </c>
      <c r="E213" t="s">
        <v>80</v>
      </c>
      <c r="F213" t="s">
        <v>81</v>
      </c>
      <c r="G213">
        <v>1.2444915083950701</v>
      </c>
      <c r="H213">
        <v>0.32055856185057302</v>
      </c>
      <c r="I213">
        <v>0</v>
      </c>
      <c r="J213">
        <v>4.5671924774518704</v>
      </c>
      <c r="K213">
        <v>681</v>
      </c>
      <c r="L213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30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1.557272958111948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0.85573159178621905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3.2591534503304098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14.282258531030999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13" s="5">
        <f>IF((DiscreteStatsTable[[#This Row],[RepsRequested]]&gt;1),DiscreteStatsTable[[#This Row],[HalfWidth]],DiscreteStatsTable[[#This Row],[BatchMeansHalfWidth]])</f>
        <v>0.1901222215889217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30</v>
      </c>
      <c r="Y213" s="5">
        <f>IF(DiscreteStatsTable[[#This Row],[RepsRequested]]=DiscreteStatsTable[[#This Row],[RepsWithStatObserved]],1,0)</f>
        <v>1</v>
      </c>
    </row>
    <row r="214" spans="1:25">
      <c r="A214" t="s">
        <v>67</v>
      </c>
      <c r="B214" t="s">
        <v>70</v>
      </c>
      <c r="C214">
        <v>3</v>
      </c>
      <c r="D214" t="s">
        <v>82</v>
      </c>
      <c r="E214" t="s">
        <v>80</v>
      </c>
      <c r="F214" t="s">
        <v>81</v>
      </c>
      <c r="G214">
        <v>1.60877367705625</v>
      </c>
      <c r="H214">
        <v>0.77733599225835504</v>
      </c>
      <c r="I214">
        <v>0</v>
      </c>
      <c r="J214">
        <v>8.8641581014092594</v>
      </c>
      <c r="K214">
        <v>663</v>
      </c>
      <c r="L214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30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1.557272958111948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0.85573159178621905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3.2591534503304098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14.282258531030999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14" s="5">
        <f>IF((DiscreteStatsTable[[#This Row],[RepsRequested]]&gt;1),DiscreteStatsTable[[#This Row],[HalfWidth]],DiscreteStatsTable[[#This Row],[BatchMeansHalfWidth]])</f>
        <v>0.1901222215889217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30</v>
      </c>
      <c r="Y214" s="5">
        <f>IF(DiscreteStatsTable[[#This Row],[RepsRequested]]=DiscreteStatsTable[[#This Row],[RepsWithStatObserved]],1,0)</f>
        <v>1</v>
      </c>
    </row>
    <row r="215" spans="1:25">
      <c r="A215" t="s">
        <v>67</v>
      </c>
      <c r="B215" t="s">
        <v>70</v>
      </c>
      <c r="C215">
        <v>4</v>
      </c>
      <c r="D215" t="s">
        <v>82</v>
      </c>
      <c r="E215" t="s">
        <v>80</v>
      </c>
      <c r="F215" t="s">
        <v>81</v>
      </c>
      <c r="G215">
        <v>1.67112869667866</v>
      </c>
      <c r="H215">
        <v>0.75678397247515194</v>
      </c>
      <c r="I215">
        <v>0</v>
      </c>
      <c r="J215">
        <v>8.7457176495751394</v>
      </c>
      <c r="K215">
        <v>701</v>
      </c>
      <c r="L215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30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1.557272958111948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0.85573159178621905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3.2591534503304098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14.282258531030999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15" s="5">
        <f>IF((DiscreteStatsTable[[#This Row],[RepsRequested]]&gt;1),DiscreteStatsTable[[#This Row],[HalfWidth]],DiscreteStatsTable[[#This Row],[BatchMeansHalfWidth]])</f>
        <v>0.1901222215889217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30</v>
      </c>
      <c r="Y215" s="5">
        <f>IF(DiscreteStatsTable[[#This Row],[RepsRequested]]=DiscreteStatsTable[[#This Row],[RepsWithStatObserved]],1,0)</f>
        <v>1</v>
      </c>
    </row>
    <row r="216" spans="1:25">
      <c r="A216" t="s">
        <v>67</v>
      </c>
      <c r="B216" t="s">
        <v>70</v>
      </c>
      <c r="C216">
        <v>5</v>
      </c>
      <c r="D216" t="s">
        <v>82</v>
      </c>
      <c r="E216" t="s">
        <v>80</v>
      </c>
      <c r="F216" t="s">
        <v>81</v>
      </c>
      <c r="G216">
        <v>1.4655499554412299</v>
      </c>
      <c r="H216">
        <v>0.47131797232352601</v>
      </c>
      <c r="I216">
        <v>0</v>
      </c>
      <c r="J216">
        <v>6.88793206282645</v>
      </c>
      <c r="K216">
        <v>704</v>
      </c>
      <c r="L216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30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1.557272958111948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0.85573159178621905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3.2591534503304098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14.282258531030999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16" s="5">
        <f>IF((DiscreteStatsTable[[#This Row],[RepsRequested]]&gt;1),DiscreteStatsTable[[#This Row],[HalfWidth]],DiscreteStatsTable[[#This Row],[BatchMeansHalfWidth]])</f>
        <v>0.1901222215889217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30</v>
      </c>
      <c r="Y216" s="5">
        <f>IF(DiscreteStatsTable[[#This Row],[RepsRequested]]=DiscreteStatsTable[[#This Row],[RepsWithStatObserved]],1,0)</f>
        <v>1</v>
      </c>
    </row>
    <row r="217" spans="1:25">
      <c r="A217" t="s">
        <v>67</v>
      </c>
      <c r="B217" t="s">
        <v>70</v>
      </c>
      <c r="C217">
        <v>6</v>
      </c>
      <c r="D217" t="s">
        <v>82</v>
      </c>
      <c r="E217" t="s">
        <v>80</v>
      </c>
      <c r="F217" t="s">
        <v>81</v>
      </c>
      <c r="G217">
        <v>1.22286662046335</v>
      </c>
      <c r="H217">
        <v>0.69991317937500297</v>
      </c>
      <c r="I217">
        <v>0</v>
      </c>
      <c r="J217">
        <v>8.6383385086734794</v>
      </c>
      <c r="K217">
        <v>663</v>
      </c>
      <c r="L217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30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1.557272958111948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0.85573159178621905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3.2591534503304098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14.282258531030999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17" s="5">
        <f>IF((DiscreteStatsTable[[#This Row],[RepsRequested]]&gt;1),DiscreteStatsTable[[#This Row],[HalfWidth]],DiscreteStatsTable[[#This Row],[BatchMeansHalfWidth]])</f>
        <v>0.1901222215889217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30</v>
      </c>
      <c r="Y217" s="5">
        <f>IF(DiscreteStatsTable[[#This Row],[RepsRequested]]=DiscreteStatsTable[[#This Row],[RepsWithStatObserved]],1,0)</f>
        <v>1</v>
      </c>
    </row>
    <row r="218" spans="1:25">
      <c r="A218" t="s">
        <v>67</v>
      </c>
      <c r="B218" t="s">
        <v>70</v>
      </c>
      <c r="C218">
        <v>7</v>
      </c>
      <c r="D218" t="s">
        <v>82</v>
      </c>
      <c r="E218" t="s">
        <v>80</v>
      </c>
      <c r="F218" t="s">
        <v>81</v>
      </c>
      <c r="G218">
        <v>1.6045597591826899</v>
      </c>
      <c r="H218">
        <v>0.47287814734523298</v>
      </c>
      <c r="I218">
        <v>0</v>
      </c>
      <c r="J218">
        <v>6.4942548100423796</v>
      </c>
      <c r="K218">
        <v>710</v>
      </c>
      <c r="L218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30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1.557272958111948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0.85573159178621905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3.2591534503304098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14.282258531030999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18" s="5">
        <f>IF((DiscreteStatsTable[[#This Row],[RepsRequested]]&gt;1),DiscreteStatsTable[[#This Row],[HalfWidth]],DiscreteStatsTable[[#This Row],[BatchMeansHalfWidth]])</f>
        <v>0.1901222215889217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30</v>
      </c>
      <c r="Y218" s="5">
        <f>IF(DiscreteStatsTable[[#This Row],[RepsRequested]]=DiscreteStatsTable[[#This Row],[RepsWithStatObserved]],1,0)</f>
        <v>1</v>
      </c>
    </row>
    <row r="219" spans="1:25">
      <c r="A219" t="s">
        <v>67</v>
      </c>
      <c r="B219" t="s">
        <v>70</v>
      </c>
      <c r="C219">
        <v>8</v>
      </c>
      <c r="D219" t="s">
        <v>82</v>
      </c>
      <c r="E219" t="s">
        <v>80</v>
      </c>
      <c r="F219" t="s">
        <v>81</v>
      </c>
      <c r="G219">
        <v>1.3449527003248101</v>
      </c>
      <c r="H219">
        <v>0.52924079635129795</v>
      </c>
      <c r="I219">
        <v>0</v>
      </c>
      <c r="J219">
        <v>6.4421888342566804</v>
      </c>
      <c r="K219">
        <v>666</v>
      </c>
      <c r="L219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30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1.557272958111948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0.85573159178621905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3.2591534503304098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14.282258531030999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19" s="5">
        <f>IF((DiscreteStatsTable[[#This Row],[RepsRequested]]&gt;1),DiscreteStatsTable[[#This Row],[HalfWidth]],DiscreteStatsTable[[#This Row],[BatchMeansHalfWidth]])</f>
        <v>0.1901222215889217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30</v>
      </c>
      <c r="Y219" s="5">
        <f>IF(DiscreteStatsTable[[#This Row],[RepsRequested]]=DiscreteStatsTable[[#This Row],[RepsWithStatObserved]],1,0)</f>
        <v>1</v>
      </c>
    </row>
    <row r="220" spans="1:25">
      <c r="A220" t="s">
        <v>67</v>
      </c>
      <c r="B220" t="s">
        <v>70</v>
      </c>
      <c r="C220">
        <v>9</v>
      </c>
      <c r="D220" t="s">
        <v>82</v>
      </c>
      <c r="E220" t="s">
        <v>80</v>
      </c>
      <c r="F220" t="s">
        <v>81</v>
      </c>
      <c r="G220">
        <v>0.92637438822166196</v>
      </c>
      <c r="H220">
        <v>3E+20</v>
      </c>
      <c r="I220">
        <v>0</v>
      </c>
      <c r="J220">
        <v>5.3069457158035203</v>
      </c>
      <c r="K220">
        <v>652</v>
      </c>
      <c r="L220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30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1.557272958111948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0.85573159178621905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3.2591534503304098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14.282258531030999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0" s="5">
        <f>IF((DiscreteStatsTable[[#This Row],[RepsRequested]]&gt;1),DiscreteStatsTable[[#This Row],[HalfWidth]],DiscreteStatsTable[[#This Row],[BatchMeansHalfWidth]])</f>
        <v>0.1901222215889217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30</v>
      </c>
      <c r="Y220" s="5">
        <f>IF(DiscreteStatsTable[[#This Row],[RepsRequested]]=DiscreteStatsTable[[#This Row],[RepsWithStatObserved]],1,0)</f>
        <v>1</v>
      </c>
    </row>
    <row r="221" spans="1:25">
      <c r="A221" t="s">
        <v>67</v>
      </c>
      <c r="B221" t="s">
        <v>70</v>
      </c>
      <c r="C221">
        <v>10</v>
      </c>
      <c r="D221" t="s">
        <v>82</v>
      </c>
      <c r="E221" t="s">
        <v>80</v>
      </c>
      <c r="F221" t="s">
        <v>81</v>
      </c>
      <c r="G221">
        <v>0.89618224281141301</v>
      </c>
      <c r="H221">
        <v>3E+20</v>
      </c>
      <c r="I221">
        <v>0</v>
      </c>
      <c r="J221">
        <v>4.5299099165245202</v>
      </c>
      <c r="K221">
        <v>674</v>
      </c>
      <c r="L221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30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1.557272958111948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0.85573159178621905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3.2591534503304098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14.282258531030999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1" s="5">
        <f>IF((DiscreteStatsTable[[#This Row],[RepsRequested]]&gt;1),DiscreteStatsTable[[#This Row],[HalfWidth]],DiscreteStatsTable[[#This Row],[BatchMeansHalfWidth]])</f>
        <v>0.1901222215889217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30</v>
      </c>
      <c r="Y221" s="5">
        <f>IF(DiscreteStatsTable[[#This Row],[RepsRequested]]=DiscreteStatsTable[[#This Row],[RepsWithStatObserved]],1,0)</f>
        <v>1</v>
      </c>
    </row>
    <row r="222" spans="1:25">
      <c r="A222" t="s">
        <v>67</v>
      </c>
      <c r="B222" t="s">
        <v>70</v>
      </c>
      <c r="C222">
        <v>11</v>
      </c>
      <c r="D222" t="s">
        <v>82</v>
      </c>
      <c r="E222" t="s">
        <v>80</v>
      </c>
      <c r="F222" t="s">
        <v>81</v>
      </c>
      <c r="G222">
        <v>1.9106428677517</v>
      </c>
      <c r="H222">
        <v>3E+20</v>
      </c>
      <c r="I222">
        <v>0</v>
      </c>
      <c r="J222">
        <v>10.312800499786</v>
      </c>
      <c r="K222">
        <v>670</v>
      </c>
      <c r="L222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30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1.557272958111948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0.85573159178621905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3.2591534503304098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14.282258531030999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2" s="5">
        <f>IF((DiscreteStatsTable[[#This Row],[RepsRequested]]&gt;1),DiscreteStatsTable[[#This Row],[HalfWidth]],DiscreteStatsTable[[#This Row],[BatchMeansHalfWidth]])</f>
        <v>0.1901222215889217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30</v>
      </c>
      <c r="Y222" s="5">
        <f>IF(DiscreteStatsTable[[#This Row],[RepsRequested]]=DiscreteStatsTable[[#This Row],[RepsWithStatObserved]],1,0)</f>
        <v>1</v>
      </c>
    </row>
    <row r="223" spans="1:25">
      <c r="A223" t="s">
        <v>67</v>
      </c>
      <c r="B223" t="s">
        <v>70</v>
      </c>
      <c r="C223">
        <v>12</v>
      </c>
      <c r="D223" t="s">
        <v>82</v>
      </c>
      <c r="E223" t="s">
        <v>80</v>
      </c>
      <c r="F223" t="s">
        <v>81</v>
      </c>
      <c r="G223">
        <v>2.0740099941180201</v>
      </c>
      <c r="H223">
        <v>3E+20</v>
      </c>
      <c r="I223">
        <v>0</v>
      </c>
      <c r="J223">
        <v>8.3094078146274306</v>
      </c>
      <c r="K223">
        <v>699</v>
      </c>
      <c r="L223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30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1.557272958111948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0.85573159178621905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3.2591534503304098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14.282258531030999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3" s="5">
        <f>IF((DiscreteStatsTable[[#This Row],[RepsRequested]]&gt;1),DiscreteStatsTable[[#This Row],[HalfWidth]],DiscreteStatsTable[[#This Row],[BatchMeansHalfWidth]])</f>
        <v>0.1901222215889217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30</v>
      </c>
      <c r="Y223" s="5">
        <f>IF(DiscreteStatsTable[[#This Row],[RepsRequested]]=DiscreteStatsTable[[#This Row],[RepsWithStatObserved]],1,0)</f>
        <v>1</v>
      </c>
    </row>
    <row r="224" spans="1:25">
      <c r="A224" t="s">
        <v>67</v>
      </c>
      <c r="B224" t="s">
        <v>70</v>
      </c>
      <c r="C224">
        <v>13</v>
      </c>
      <c r="D224" t="s">
        <v>82</v>
      </c>
      <c r="E224" t="s">
        <v>80</v>
      </c>
      <c r="F224" t="s">
        <v>81</v>
      </c>
      <c r="G224">
        <v>0.85573159178621905</v>
      </c>
      <c r="H224">
        <v>3E+20</v>
      </c>
      <c r="I224">
        <v>0</v>
      </c>
      <c r="J224">
        <v>5.6764045000728602</v>
      </c>
      <c r="K224">
        <v>650</v>
      </c>
      <c r="L224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30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1.557272958111948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0.85573159178621905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3.2591534503304098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14.282258531030999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4" s="5">
        <f>IF((DiscreteStatsTable[[#This Row],[RepsRequested]]&gt;1),DiscreteStatsTable[[#This Row],[HalfWidth]],DiscreteStatsTable[[#This Row],[BatchMeansHalfWidth]])</f>
        <v>0.1901222215889217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30</v>
      </c>
      <c r="Y224" s="5">
        <f>IF(DiscreteStatsTable[[#This Row],[RepsRequested]]=DiscreteStatsTable[[#This Row],[RepsWithStatObserved]],1,0)</f>
        <v>1</v>
      </c>
    </row>
    <row r="225" spans="1:25">
      <c r="A225" t="s">
        <v>67</v>
      </c>
      <c r="B225" t="s">
        <v>70</v>
      </c>
      <c r="C225">
        <v>14</v>
      </c>
      <c r="D225" t="s">
        <v>82</v>
      </c>
      <c r="E225" t="s">
        <v>80</v>
      </c>
      <c r="F225" t="s">
        <v>81</v>
      </c>
      <c r="G225">
        <v>1.74605889507886</v>
      </c>
      <c r="H225">
        <v>0.55539943133513703</v>
      </c>
      <c r="I225">
        <v>0</v>
      </c>
      <c r="J225">
        <v>6.7400223676645199</v>
      </c>
      <c r="K225">
        <v>693</v>
      </c>
      <c r="L225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30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1.557272958111948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0.85573159178621905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3.2591534503304098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14.282258531030999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5" s="5">
        <f>IF((DiscreteStatsTable[[#This Row],[RepsRequested]]&gt;1),DiscreteStatsTable[[#This Row],[HalfWidth]],DiscreteStatsTable[[#This Row],[BatchMeansHalfWidth]])</f>
        <v>0.1901222215889217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30</v>
      </c>
      <c r="Y225" s="5">
        <f>IF(DiscreteStatsTable[[#This Row],[RepsRequested]]=DiscreteStatsTable[[#This Row],[RepsWithStatObserved]],1,0)</f>
        <v>1</v>
      </c>
    </row>
    <row r="226" spans="1:25">
      <c r="A226" t="s">
        <v>67</v>
      </c>
      <c r="B226" t="s">
        <v>70</v>
      </c>
      <c r="C226">
        <v>15</v>
      </c>
      <c r="D226" t="s">
        <v>82</v>
      </c>
      <c r="E226" t="s">
        <v>80</v>
      </c>
      <c r="F226" t="s">
        <v>81</v>
      </c>
      <c r="G226">
        <v>1.6401426131047401</v>
      </c>
      <c r="H226">
        <v>0.50478629512761197</v>
      </c>
      <c r="I226">
        <v>0</v>
      </c>
      <c r="J226">
        <v>5.9111393715373</v>
      </c>
      <c r="K226">
        <v>700</v>
      </c>
      <c r="L226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30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1.557272958111948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0.85573159178621905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3.2591534503304098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14.282258531030999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6" s="5">
        <f>IF((DiscreteStatsTable[[#This Row],[RepsRequested]]&gt;1),DiscreteStatsTable[[#This Row],[HalfWidth]],DiscreteStatsTable[[#This Row],[BatchMeansHalfWidth]])</f>
        <v>0.1901222215889217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30</v>
      </c>
      <c r="Y226" s="5">
        <f>IF(DiscreteStatsTable[[#This Row],[RepsRequested]]=DiscreteStatsTable[[#This Row],[RepsWithStatObserved]],1,0)</f>
        <v>1</v>
      </c>
    </row>
    <row r="227" spans="1:25">
      <c r="A227" t="s">
        <v>67</v>
      </c>
      <c r="B227" t="s">
        <v>70</v>
      </c>
      <c r="C227">
        <v>16</v>
      </c>
      <c r="D227" t="s">
        <v>82</v>
      </c>
      <c r="E227" t="s">
        <v>80</v>
      </c>
      <c r="F227" t="s">
        <v>81</v>
      </c>
      <c r="G227">
        <v>2.1362704637192298</v>
      </c>
      <c r="H227">
        <v>3E+20</v>
      </c>
      <c r="I227">
        <v>0</v>
      </c>
      <c r="J227">
        <v>10.041584174566401</v>
      </c>
      <c r="K227">
        <v>706</v>
      </c>
      <c r="L227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30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1.557272958111948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0.85573159178621905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3.2591534503304098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14.282258531030999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7" s="5">
        <f>IF((DiscreteStatsTable[[#This Row],[RepsRequested]]&gt;1),DiscreteStatsTable[[#This Row],[HalfWidth]],DiscreteStatsTable[[#This Row],[BatchMeansHalfWidth]])</f>
        <v>0.1901222215889217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30</v>
      </c>
      <c r="Y227" s="5">
        <f>IF(DiscreteStatsTable[[#This Row],[RepsRequested]]=DiscreteStatsTable[[#This Row],[RepsWithStatObserved]],1,0)</f>
        <v>1</v>
      </c>
    </row>
    <row r="228" spans="1:25">
      <c r="A228" t="s">
        <v>67</v>
      </c>
      <c r="B228" t="s">
        <v>70</v>
      </c>
      <c r="C228">
        <v>17</v>
      </c>
      <c r="D228" t="s">
        <v>82</v>
      </c>
      <c r="E228" t="s">
        <v>80</v>
      </c>
      <c r="F228" t="s">
        <v>81</v>
      </c>
      <c r="G228">
        <v>2.05819290438451</v>
      </c>
      <c r="H228">
        <v>3E+20</v>
      </c>
      <c r="I228">
        <v>0</v>
      </c>
      <c r="J228">
        <v>8.9691484470606309</v>
      </c>
      <c r="K228">
        <v>679</v>
      </c>
      <c r="L228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30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1.557272958111948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0.85573159178621905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3.2591534503304098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14.282258531030999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8" s="5">
        <f>IF((DiscreteStatsTable[[#This Row],[RepsRequested]]&gt;1),DiscreteStatsTable[[#This Row],[HalfWidth]],DiscreteStatsTable[[#This Row],[BatchMeansHalfWidth]])</f>
        <v>0.1901222215889217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30</v>
      </c>
      <c r="Y228" s="5">
        <f>IF(DiscreteStatsTable[[#This Row],[RepsRequested]]=DiscreteStatsTable[[#This Row],[RepsWithStatObserved]],1,0)</f>
        <v>1</v>
      </c>
    </row>
    <row r="229" spans="1:25">
      <c r="A229" t="s">
        <v>67</v>
      </c>
      <c r="B229" t="s">
        <v>70</v>
      </c>
      <c r="C229">
        <v>18</v>
      </c>
      <c r="D229" t="s">
        <v>82</v>
      </c>
      <c r="E229" t="s">
        <v>80</v>
      </c>
      <c r="F229" t="s">
        <v>81</v>
      </c>
      <c r="G229">
        <v>1.05681373383046</v>
      </c>
      <c r="H229">
        <v>3E+20</v>
      </c>
      <c r="I229">
        <v>0</v>
      </c>
      <c r="J229">
        <v>5.7335142127826098</v>
      </c>
      <c r="K229">
        <v>650</v>
      </c>
      <c r="L229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30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1.557272958111948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0.85573159178621905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3.2591534503304098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14.282258531030999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29" s="5">
        <f>IF((DiscreteStatsTable[[#This Row],[RepsRequested]]&gt;1),DiscreteStatsTable[[#This Row],[HalfWidth]],DiscreteStatsTable[[#This Row],[BatchMeansHalfWidth]])</f>
        <v>0.1901222215889217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30</v>
      </c>
      <c r="Y229" s="5">
        <f>IF(DiscreteStatsTable[[#This Row],[RepsRequested]]=DiscreteStatsTable[[#This Row],[RepsWithStatObserved]],1,0)</f>
        <v>1</v>
      </c>
    </row>
    <row r="230" spans="1:25">
      <c r="A230" t="s">
        <v>67</v>
      </c>
      <c r="B230" t="s">
        <v>70</v>
      </c>
      <c r="C230">
        <v>19</v>
      </c>
      <c r="D230" t="s">
        <v>82</v>
      </c>
      <c r="E230" t="s">
        <v>80</v>
      </c>
      <c r="F230" t="s">
        <v>81</v>
      </c>
      <c r="G230">
        <v>1.3553642328650899</v>
      </c>
      <c r="H230">
        <v>0.45063360066219699</v>
      </c>
      <c r="I230">
        <v>0</v>
      </c>
      <c r="J230">
        <v>7.0429138331079999</v>
      </c>
      <c r="K230">
        <v>692</v>
      </c>
      <c r="L230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30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1.557272958111948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0.85573159178621905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3.2591534503304098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14.282258531030999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0" s="5">
        <f>IF((DiscreteStatsTable[[#This Row],[RepsRequested]]&gt;1),DiscreteStatsTable[[#This Row],[HalfWidth]],DiscreteStatsTable[[#This Row],[BatchMeansHalfWidth]])</f>
        <v>0.1901222215889217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30</v>
      </c>
      <c r="Y230" s="5">
        <f>IF(DiscreteStatsTable[[#This Row],[RepsRequested]]=DiscreteStatsTable[[#This Row],[RepsWithStatObserved]],1,0)</f>
        <v>1</v>
      </c>
    </row>
    <row r="231" spans="1:25">
      <c r="A231" t="s">
        <v>67</v>
      </c>
      <c r="B231" t="s">
        <v>70</v>
      </c>
      <c r="C231">
        <v>20</v>
      </c>
      <c r="D231" t="s">
        <v>82</v>
      </c>
      <c r="E231" t="s">
        <v>80</v>
      </c>
      <c r="F231" t="s">
        <v>81</v>
      </c>
      <c r="G231">
        <v>1.40631999779567</v>
      </c>
      <c r="H231">
        <v>3E+20</v>
      </c>
      <c r="I231">
        <v>0</v>
      </c>
      <c r="J231">
        <v>6.3518469496590297</v>
      </c>
      <c r="K231">
        <v>643</v>
      </c>
      <c r="L231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30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1.557272958111948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0.85573159178621905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3.2591534503304098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14.282258531030999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1" s="5">
        <f>IF((DiscreteStatsTable[[#This Row],[RepsRequested]]&gt;1),DiscreteStatsTable[[#This Row],[HalfWidth]],DiscreteStatsTable[[#This Row],[BatchMeansHalfWidth]])</f>
        <v>0.1901222215889217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30</v>
      </c>
      <c r="Y231" s="5">
        <f>IF(DiscreteStatsTable[[#This Row],[RepsRequested]]=DiscreteStatsTable[[#This Row],[RepsWithStatObserved]],1,0)</f>
        <v>1</v>
      </c>
    </row>
    <row r="232" spans="1:25">
      <c r="A232" t="s">
        <v>67</v>
      </c>
      <c r="B232" t="s">
        <v>70</v>
      </c>
      <c r="C232">
        <v>21</v>
      </c>
      <c r="D232" t="s">
        <v>82</v>
      </c>
      <c r="E232" t="s">
        <v>80</v>
      </c>
      <c r="F232" t="s">
        <v>81</v>
      </c>
      <c r="G232">
        <v>1.4925074126461699</v>
      </c>
      <c r="H232">
        <v>0.43561845237399699</v>
      </c>
      <c r="I232">
        <v>0</v>
      </c>
      <c r="J232">
        <v>6.1893439409455198</v>
      </c>
      <c r="K232">
        <v>680</v>
      </c>
      <c r="L232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30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1.557272958111948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0.85573159178621905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3.2591534503304098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14.282258531030999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2" s="5">
        <f>IF((DiscreteStatsTable[[#This Row],[RepsRequested]]&gt;1),DiscreteStatsTable[[#This Row],[HalfWidth]],DiscreteStatsTable[[#This Row],[BatchMeansHalfWidth]])</f>
        <v>0.1901222215889217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30</v>
      </c>
      <c r="Y232" s="5">
        <f>IF(DiscreteStatsTable[[#This Row],[RepsRequested]]=DiscreteStatsTable[[#This Row],[RepsWithStatObserved]],1,0)</f>
        <v>1</v>
      </c>
    </row>
    <row r="233" spans="1:25">
      <c r="A233" t="s">
        <v>67</v>
      </c>
      <c r="B233" t="s">
        <v>70</v>
      </c>
      <c r="C233">
        <v>22</v>
      </c>
      <c r="D233" t="s">
        <v>82</v>
      </c>
      <c r="E233" t="s">
        <v>80</v>
      </c>
      <c r="F233" t="s">
        <v>81</v>
      </c>
      <c r="G233">
        <v>1.0483833668848599</v>
      </c>
      <c r="H233">
        <v>0.44223226216126199</v>
      </c>
      <c r="I233">
        <v>0</v>
      </c>
      <c r="J233">
        <v>6.1671034465623498</v>
      </c>
      <c r="K233">
        <v>664</v>
      </c>
      <c r="L233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30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1.557272958111948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0.85573159178621905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3.2591534503304098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14.282258531030999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3" s="5">
        <f>IF((DiscreteStatsTable[[#This Row],[RepsRequested]]&gt;1),DiscreteStatsTable[[#This Row],[HalfWidth]],DiscreteStatsTable[[#This Row],[BatchMeansHalfWidth]])</f>
        <v>0.1901222215889217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30</v>
      </c>
      <c r="Y233" s="5">
        <f>IF(DiscreteStatsTable[[#This Row],[RepsRequested]]=DiscreteStatsTable[[#This Row],[RepsWithStatObserved]],1,0)</f>
        <v>1</v>
      </c>
    </row>
    <row r="234" spans="1:25">
      <c r="A234" t="s">
        <v>67</v>
      </c>
      <c r="B234" t="s">
        <v>70</v>
      </c>
      <c r="C234">
        <v>23</v>
      </c>
      <c r="D234" t="s">
        <v>82</v>
      </c>
      <c r="E234" t="s">
        <v>80</v>
      </c>
      <c r="F234" t="s">
        <v>81</v>
      </c>
      <c r="G234">
        <v>2.0648692341964598</v>
      </c>
      <c r="H234">
        <v>0.77833931416026902</v>
      </c>
      <c r="I234">
        <v>0</v>
      </c>
      <c r="J234">
        <v>11.1602748843609</v>
      </c>
      <c r="K234">
        <v>720</v>
      </c>
      <c r="L234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30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1.557272958111948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0.85573159178621905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3.2591534503304098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14.282258531030999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4" s="5">
        <f>IF((DiscreteStatsTable[[#This Row],[RepsRequested]]&gt;1),DiscreteStatsTable[[#This Row],[HalfWidth]],DiscreteStatsTable[[#This Row],[BatchMeansHalfWidth]])</f>
        <v>0.1901222215889217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30</v>
      </c>
      <c r="Y234" s="5">
        <f>IF(DiscreteStatsTable[[#This Row],[RepsRequested]]=DiscreteStatsTable[[#This Row],[RepsWithStatObserved]],1,0)</f>
        <v>1</v>
      </c>
    </row>
    <row r="235" spans="1:25">
      <c r="A235" t="s">
        <v>67</v>
      </c>
      <c r="B235" t="s">
        <v>70</v>
      </c>
      <c r="C235">
        <v>24</v>
      </c>
      <c r="D235" t="s">
        <v>82</v>
      </c>
      <c r="E235" t="s">
        <v>80</v>
      </c>
      <c r="F235" t="s">
        <v>81</v>
      </c>
      <c r="G235">
        <v>1.5386094314435801</v>
      </c>
      <c r="H235">
        <v>0.80140624156039997</v>
      </c>
      <c r="I235">
        <v>0</v>
      </c>
      <c r="J235">
        <v>10.279081704916299</v>
      </c>
      <c r="K235">
        <v>663</v>
      </c>
      <c r="L235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30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1.557272958111948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0.85573159178621905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3.2591534503304098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14.282258531030999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5" s="5">
        <f>IF((DiscreteStatsTable[[#This Row],[RepsRequested]]&gt;1),DiscreteStatsTable[[#This Row],[HalfWidth]],DiscreteStatsTable[[#This Row],[BatchMeansHalfWidth]])</f>
        <v>0.1901222215889217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30</v>
      </c>
      <c r="Y235" s="5">
        <f>IF(DiscreteStatsTable[[#This Row],[RepsRequested]]=DiscreteStatsTable[[#This Row],[RepsWithStatObserved]],1,0)</f>
        <v>1</v>
      </c>
    </row>
    <row r="236" spans="1:25">
      <c r="A236" t="s">
        <v>67</v>
      </c>
      <c r="B236" t="s">
        <v>70</v>
      </c>
      <c r="C236">
        <v>25</v>
      </c>
      <c r="D236" t="s">
        <v>82</v>
      </c>
      <c r="E236" t="s">
        <v>80</v>
      </c>
      <c r="F236" t="s">
        <v>81</v>
      </c>
      <c r="G236">
        <v>1.60244501791116</v>
      </c>
      <c r="H236">
        <v>0.56443949259733905</v>
      </c>
      <c r="I236">
        <v>0</v>
      </c>
      <c r="J236">
        <v>6.63055527496343</v>
      </c>
      <c r="K236">
        <v>703</v>
      </c>
      <c r="L236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30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1.557272958111948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0.85573159178621905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3.2591534503304098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14.282258531030999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6" s="5">
        <f>IF((DiscreteStatsTable[[#This Row],[RepsRequested]]&gt;1),DiscreteStatsTable[[#This Row],[HalfWidth]],DiscreteStatsTable[[#This Row],[BatchMeansHalfWidth]])</f>
        <v>0.1901222215889217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30</v>
      </c>
      <c r="Y236" s="5">
        <f>IF(DiscreteStatsTable[[#This Row],[RepsRequested]]=DiscreteStatsTable[[#This Row],[RepsWithStatObserved]],1,0)</f>
        <v>1</v>
      </c>
    </row>
    <row r="237" spans="1:25">
      <c r="A237" t="s">
        <v>67</v>
      </c>
      <c r="B237" t="s">
        <v>70</v>
      </c>
      <c r="C237">
        <v>26</v>
      </c>
      <c r="D237" t="s">
        <v>82</v>
      </c>
      <c r="E237" t="s">
        <v>80</v>
      </c>
      <c r="F237" t="s">
        <v>81</v>
      </c>
      <c r="G237">
        <v>2.09907479605502</v>
      </c>
      <c r="H237">
        <v>3E+20</v>
      </c>
      <c r="I237">
        <v>0</v>
      </c>
      <c r="J237">
        <v>8.2305930959783602</v>
      </c>
      <c r="K237">
        <v>703</v>
      </c>
      <c r="L237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30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1.557272958111948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0.85573159178621905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3.2591534503304098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14.282258531030999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7" s="5">
        <f>IF((DiscreteStatsTable[[#This Row],[RepsRequested]]&gt;1),DiscreteStatsTable[[#This Row],[HalfWidth]],DiscreteStatsTable[[#This Row],[BatchMeansHalfWidth]])</f>
        <v>0.1901222215889217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30</v>
      </c>
      <c r="Y237" s="5">
        <f>IF(DiscreteStatsTable[[#This Row],[RepsRequested]]=DiscreteStatsTable[[#This Row],[RepsWithStatObserved]],1,0)</f>
        <v>1</v>
      </c>
    </row>
    <row r="238" spans="1:25">
      <c r="A238" t="s">
        <v>67</v>
      </c>
      <c r="B238" t="s">
        <v>70</v>
      </c>
      <c r="C238">
        <v>27</v>
      </c>
      <c r="D238" t="s">
        <v>82</v>
      </c>
      <c r="E238" t="s">
        <v>80</v>
      </c>
      <c r="F238" t="s">
        <v>81</v>
      </c>
      <c r="G238">
        <v>1.0202369769446</v>
      </c>
      <c r="H238">
        <v>3E+20</v>
      </c>
      <c r="I238">
        <v>0</v>
      </c>
      <c r="J238">
        <v>6.77737247691209</v>
      </c>
      <c r="K238">
        <v>636</v>
      </c>
      <c r="L238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30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1.557272958111948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0.85573159178621905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3.2591534503304098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14.282258531030999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8" s="5">
        <f>IF((DiscreteStatsTable[[#This Row],[RepsRequested]]&gt;1),DiscreteStatsTable[[#This Row],[HalfWidth]],DiscreteStatsTable[[#This Row],[BatchMeansHalfWidth]])</f>
        <v>0.1901222215889217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30</v>
      </c>
      <c r="Y238" s="5">
        <f>IF(DiscreteStatsTable[[#This Row],[RepsRequested]]=DiscreteStatsTable[[#This Row],[RepsWithStatObserved]],1,0)</f>
        <v>1</v>
      </c>
    </row>
    <row r="239" spans="1:25">
      <c r="A239" t="s">
        <v>67</v>
      </c>
      <c r="B239" t="s">
        <v>70</v>
      </c>
      <c r="C239">
        <v>28</v>
      </c>
      <c r="D239" t="s">
        <v>82</v>
      </c>
      <c r="E239" t="s">
        <v>80</v>
      </c>
      <c r="F239" t="s">
        <v>81</v>
      </c>
      <c r="G239">
        <v>1.8796582355898399</v>
      </c>
      <c r="H239">
        <v>3E+20</v>
      </c>
      <c r="I239">
        <v>0</v>
      </c>
      <c r="J239">
        <v>10.062852858643</v>
      </c>
      <c r="K239">
        <v>686</v>
      </c>
      <c r="L239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30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1.557272958111948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0.85573159178621905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3.2591534503304098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14.282258531030999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39" s="5">
        <f>IF((DiscreteStatsTable[[#This Row],[RepsRequested]]&gt;1),DiscreteStatsTable[[#This Row],[HalfWidth]],DiscreteStatsTable[[#This Row],[BatchMeansHalfWidth]])</f>
        <v>0.1901222215889217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30</v>
      </c>
      <c r="Y239" s="5">
        <f>IF(DiscreteStatsTable[[#This Row],[RepsRequested]]=DiscreteStatsTable[[#This Row],[RepsWithStatObserved]],1,0)</f>
        <v>1</v>
      </c>
    </row>
    <row r="240" spans="1:25">
      <c r="A240" t="s">
        <v>67</v>
      </c>
      <c r="B240" t="s">
        <v>70</v>
      </c>
      <c r="C240">
        <v>29</v>
      </c>
      <c r="D240" t="s">
        <v>82</v>
      </c>
      <c r="E240" t="s">
        <v>80</v>
      </c>
      <c r="F240" t="s">
        <v>81</v>
      </c>
      <c r="G240">
        <v>3.2591534503304098</v>
      </c>
      <c r="H240">
        <v>3E+20</v>
      </c>
      <c r="I240">
        <v>0</v>
      </c>
      <c r="J240">
        <v>14.282258531030999</v>
      </c>
      <c r="K240">
        <v>733</v>
      </c>
      <c r="L240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30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1.557272958111948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0.85573159178621905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3.2591534503304098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14.282258531030999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40" s="5">
        <f>IF((DiscreteStatsTable[[#This Row],[RepsRequested]]&gt;1),DiscreteStatsTable[[#This Row],[HalfWidth]],DiscreteStatsTable[[#This Row],[BatchMeansHalfWidth]])</f>
        <v>0.1901222215889217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30</v>
      </c>
      <c r="Y240" s="5">
        <f>IF(DiscreteStatsTable[[#This Row],[RepsRequested]]=DiscreteStatsTable[[#This Row],[RepsWithStatObserved]],1,0)</f>
        <v>1</v>
      </c>
    </row>
    <row r="241" spans="1:25">
      <c r="A241" t="s">
        <v>67</v>
      </c>
      <c r="B241" t="s">
        <v>70</v>
      </c>
      <c r="C241">
        <v>30</v>
      </c>
      <c r="D241" t="s">
        <v>82</v>
      </c>
      <c r="E241" t="s">
        <v>80</v>
      </c>
      <c r="F241" t="s">
        <v>81</v>
      </c>
      <c r="G241">
        <v>0.87433597726635304</v>
      </c>
      <c r="H241">
        <v>0.17985158452445099</v>
      </c>
      <c r="I241">
        <v>0</v>
      </c>
      <c r="J241">
        <v>4.9982689881092899</v>
      </c>
      <c r="K241">
        <v>679</v>
      </c>
      <c r="L241" s="5" t="str">
        <f>DiscreteStatsTable[[#This Row],[ProjectName]]&amp;DiscreteStatsTable[[#This Row],[Name]]&amp;DiscreteStatsTable[[#This Row],[Type]]&amp;DiscreteStatsTable[[#This Row],[Source]]</f>
        <v>Unnamed ProjectOcuparCajero.QueueWaiting TimeQueue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30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1.557272958111948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0.50915666046508157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0.1901222215889217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0.85573159178621905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3.2591534503304098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14.282258531030999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682.33333333333337</v>
      </c>
      <c r="W241" s="5">
        <f>IF((DiscreteStatsTable[[#This Row],[RepsRequested]]&gt;1),DiscreteStatsTable[[#This Row],[HalfWidth]],DiscreteStatsTable[[#This Row],[BatchMeansHalfWidth]])</f>
        <v>0.1901222215889217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30</v>
      </c>
      <c r="Y241" s="5">
        <f>IF(DiscreteStatsTable[[#This Row],[RepsRequested]]=DiscreteStatsTable[[#This Row],[RepsWithStatObserved]],1,0)</f>
        <v>1</v>
      </c>
    </row>
    <row r="242" spans="1:25">
      <c r="A242" t="s">
        <v>67</v>
      </c>
      <c r="B242" t="s">
        <v>70</v>
      </c>
      <c r="C242">
        <v>1</v>
      </c>
      <c r="D242" t="s">
        <v>83</v>
      </c>
      <c r="E242" t="s">
        <v>84</v>
      </c>
      <c r="F242" t="s">
        <v>85</v>
      </c>
      <c r="G242">
        <v>2.8449502133712602E-2</v>
      </c>
      <c r="H242">
        <v>3.8820703865477597E-2</v>
      </c>
      <c r="I242">
        <v>0</v>
      </c>
      <c r="J242">
        <v>1</v>
      </c>
      <c r="K242">
        <v>703</v>
      </c>
      <c r="L242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30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5.8802791400645191E-2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0.25925925925925902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1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42" s="5">
        <f>IF((DiscreteStatsTable[[#This Row],[RepsRequested]]&gt;1),DiscreteStatsTable[[#This Row],[HalfWidth]],DiscreteStatsTable[[#This Row],[BatchMeansHalfWidth]])</f>
        <v>2.2178777596145966E-2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30</v>
      </c>
      <c r="Y242" s="5">
        <f>IF(DiscreteStatsTable[[#This Row],[RepsRequested]]=DiscreteStatsTable[[#This Row],[RepsWithStatObserved]],1,0)</f>
        <v>1</v>
      </c>
    </row>
    <row r="243" spans="1:25">
      <c r="A243" t="s">
        <v>67</v>
      </c>
      <c r="B243" t="s">
        <v>70</v>
      </c>
      <c r="C243">
        <v>2</v>
      </c>
      <c r="D243" t="s">
        <v>83</v>
      </c>
      <c r="E243" t="s">
        <v>84</v>
      </c>
      <c r="F243" t="s">
        <v>85</v>
      </c>
      <c r="G243">
        <v>0</v>
      </c>
      <c r="H243">
        <v>0</v>
      </c>
      <c r="I243">
        <v>0</v>
      </c>
      <c r="J243">
        <v>0</v>
      </c>
      <c r="K243">
        <v>679</v>
      </c>
      <c r="L243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30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5.8802791400645191E-2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0.25925925925925902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43" s="5">
        <f>IF((DiscreteStatsTable[[#This Row],[RepsRequested]]&gt;1),DiscreteStatsTable[[#This Row],[HalfWidth]],DiscreteStatsTable[[#This Row],[BatchMeansHalfWidth]])</f>
        <v>2.2178777596145966E-2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30</v>
      </c>
      <c r="Y243" s="5">
        <f>IF(DiscreteStatsTable[[#This Row],[RepsRequested]]=DiscreteStatsTable[[#This Row],[RepsWithStatObserved]],1,0)</f>
        <v>1</v>
      </c>
    </row>
    <row r="244" spans="1:25">
      <c r="A244" t="s">
        <v>67</v>
      </c>
      <c r="B244" t="s">
        <v>70</v>
      </c>
      <c r="C244">
        <v>3</v>
      </c>
      <c r="D244" t="s">
        <v>83</v>
      </c>
      <c r="E244" t="s">
        <v>84</v>
      </c>
      <c r="F244" t="s">
        <v>85</v>
      </c>
      <c r="G244">
        <v>8.95295902883156E-2</v>
      </c>
      <c r="H244">
        <v>0.11914515448195399</v>
      </c>
      <c r="I244">
        <v>0</v>
      </c>
      <c r="J244">
        <v>1</v>
      </c>
      <c r="K244">
        <v>659</v>
      </c>
      <c r="L244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30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5.8802791400645191E-2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0.25925925925925902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1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44" s="5">
        <f>IF((DiscreteStatsTable[[#This Row],[RepsRequested]]&gt;1),DiscreteStatsTable[[#This Row],[HalfWidth]],DiscreteStatsTable[[#This Row],[BatchMeansHalfWidth]])</f>
        <v>2.2178777596145966E-2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30</v>
      </c>
      <c r="Y244" s="5">
        <f>IF(DiscreteStatsTable[[#This Row],[RepsRequested]]=DiscreteStatsTable[[#This Row],[RepsWithStatObserved]],1,0)</f>
        <v>1</v>
      </c>
    </row>
    <row r="245" spans="1:25">
      <c r="A245" t="s">
        <v>67</v>
      </c>
      <c r="B245" t="s">
        <v>70</v>
      </c>
      <c r="C245">
        <v>4</v>
      </c>
      <c r="D245" t="s">
        <v>83</v>
      </c>
      <c r="E245" t="s">
        <v>84</v>
      </c>
      <c r="F245" t="s">
        <v>85</v>
      </c>
      <c r="G245">
        <v>6.6091954022988494E-2</v>
      </c>
      <c r="H245">
        <v>0.100447495051658</v>
      </c>
      <c r="I245">
        <v>0</v>
      </c>
      <c r="J245">
        <v>1</v>
      </c>
      <c r="K245">
        <v>696</v>
      </c>
      <c r="L245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30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5.8802791400645191E-2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0.25925925925925902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1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45" s="5">
        <f>IF((DiscreteStatsTable[[#This Row],[RepsRequested]]&gt;1),DiscreteStatsTable[[#This Row],[HalfWidth]],DiscreteStatsTable[[#This Row],[BatchMeansHalfWidth]])</f>
        <v>2.2178777596145966E-2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30</v>
      </c>
      <c r="Y245" s="5">
        <f>IF(DiscreteStatsTable[[#This Row],[RepsRequested]]=DiscreteStatsTable[[#This Row],[RepsWithStatObserved]],1,0)</f>
        <v>1</v>
      </c>
    </row>
    <row r="246" spans="1:25">
      <c r="A246" t="s">
        <v>67</v>
      </c>
      <c r="B246" t="s">
        <v>70</v>
      </c>
      <c r="C246">
        <v>5</v>
      </c>
      <c r="D246" t="s">
        <v>83</v>
      </c>
      <c r="E246" t="s">
        <v>84</v>
      </c>
      <c r="F246" t="s">
        <v>85</v>
      </c>
      <c r="G246">
        <v>2.56776034236804E-2</v>
      </c>
      <c r="H246">
        <v>2.7833835449562701E-2</v>
      </c>
      <c r="I246">
        <v>0</v>
      </c>
      <c r="J246">
        <v>1</v>
      </c>
      <c r="K246">
        <v>701</v>
      </c>
      <c r="L246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30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5.8802791400645191E-2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0.25925925925925902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1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46" s="5">
        <f>IF((DiscreteStatsTable[[#This Row],[RepsRequested]]&gt;1),DiscreteStatsTable[[#This Row],[HalfWidth]],DiscreteStatsTable[[#This Row],[BatchMeansHalfWidth]])</f>
        <v>2.2178777596145966E-2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30</v>
      </c>
      <c r="Y246" s="5">
        <f>IF(DiscreteStatsTable[[#This Row],[RepsRequested]]=DiscreteStatsTable[[#This Row],[RepsWithStatObserved]],1,0)</f>
        <v>1</v>
      </c>
    </row>
    <row r="247" spans="1:25">
      <c r="A247" t="s">
        <v>67</v>
      </c>
      <c r="B247" t="s">
        <v>70</v>
      </c>
      <c r="C247">
        <v>6</v>
      </c>
      <c r="D247" t="s">
        <v>83</v>
      </c>
      <c r="E247" t="s">
        <v>84</v>
      </c>
      <c r="F247" t="s">
        <v>85</v>
      </c>
      <c r="G247">
        <v>5.7750759878419398E-2</v>
      </c>
      <c r="H247">
        <v>9.2850689414639503E-2</v>
      </c>
      <c r="I247">
        <v>0</v>
      </c>
      <c r="J247">
        <v>1</v>
      </c>
      <c r="K247">
        <v>658</v>
      </c>
      <c r="L247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30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5.8802791400645191E-2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0.25925925925925902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1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47" s="5">
        <f>IF((DiscreteStatsTable[[#This Row],[RepsRequested]]&gt;1),DiscreteStatsTable[[#This Row],[HalfWidth]],DiscreteStatsTable[[#This Row],[BatchMeansHalfWidth]])</f>
        <v>2.2178777596145966E-2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30</v>
      </c>
      <c r="Y247" s="5">
        <f>IF(DiscreteStatsTable[[#This Row],[RepsRequested]]=DiscreteStatsTable[[#This Row],[RepsWithStatObserved]],1,0)</f>
        <v>1</v>
      </c>
    </row>
    <row r="248" spans="1:25">
      <c r="A248" t="s">
        <v>67</v>
      </c>
      <c r="B248" t="s">
        <v>70</v>
      </c>
      <c r="C248">
        <v>7</v>
      </c>
      <c r="D248" t="s">
        <v>83</v>
      </c>
      <c r="E248" t="s">
        <v>84</v>
      </c>
      <c r="F248" t="s">
        <v>85</v>
      </c>
      <c r="G248">
        <v>3.5360678925035298E-2</v>
      </c>
      <c r="H248">
        <v>5.0474943226739899E-2</v>
      </c>
      <c r="I248">
        <v>0</v>
      </c>
      <c r="J248">
        <v>1</v>
      </c>
      <c r="K248">
        <v>707</v>
      </c>
      <c r="L248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30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5.8802791400645191E-2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0.25925925925925902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1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48" s="5">
        <f>IF((DiscreteStatsTable[[#This Row],[RepsRequested]]&gt;1),DiscreteStatsTable[[#This Row],[HalfWidth]],DiscreteStatsTable[[#This Row],[BatchMeansHalfWidth]])</f>
        <v>2.2178777596145966E-2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30</v>
      </c>
      <c r="Y248" s="5">
        <f>IF(DiscreteStatsTable[[#This Row],[RepsRequested]]=DiscreteStatsTable[[#This Row],[RepsWithStatObserved]],1,0)</f>
        <v>1</v>
      </c>
    </row>
    <row r="249" spans="1:25">
      <c r="A249" t="s">
        <v>67</v>
      </c>
      <c r="B249" t="s">
        <v>70</v>
      </c>
      <c r="C249">
        <v>8</v>
      </c>
      <c r="D249" t="s">
        <v>83</v>
      </c>
      <c r="E249" t="s">
        <v>84</v>
      </c>
      <c r="F249" t="s">
        <v>85</v>
      </c>
      <c r="G249">
        <v>2.2658610271903398E-2</v>
      </c>
      <c r="H249">
        <v>2.21930238762915E-2</v>
      </c>
      <c r="I249">
        <v>0</v>
      </c>
      <c r="J249">
        <v>1</v>
      </c>
      <c r="K249">
        <v>662</v>
      </c>
      <c r="L249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30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5.8802791400645191E-2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0.25925925925925902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49" s="5">
        <f>IF((DiscreteStatsTable[[#This Row],[RepsRequested]]&gt;1),DiscreteStatsTable[[#This Row],[HalfWidth]],DiscreteStatsTable[[#This Row],[BatchMeansHalfWidth]])</f>
        <v>2.2178777596145966E-2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30</v>
      </c>
      <c r="Y249" s="5">
        <f>IF(DiscreteStatsTable[[#This Row],[RepsRequested]]=DiscreteStatsTable[[#This Row],[RepsWithStatObserved]],1,0)</f>
        <v>1</v>
      </c>
    </row>
    <row r="250" spans="1:25">
      <c r="A250" t="s">
        <v>67</v>
      </c>
      <c r="B250" t="s">
        <v>70</v>
      </c>
      <c r="C250">
        <v>9</v>
      </c>
      <c r="D250" t="s">
        <v>83</v>
      </c>
      <c r="E250" t="s">
        <v>84</v>
      </c>
      <c r="F250" t="s">
        <v>85</v>
      </c>
      <c r="G250">
        <v>3.08166409861325E-3</v>
      </c>
      <c r="H250">
        <v>4.4496380578822204E-3</v>
      </c>
      <c r="I250">
        <v>0</v>
      </c>
      <c r="J250">
        <v>1</v>
      </c>
      <c r="K250">
        <v>649</v>
      </c>
      <c r="L250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30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5.8802791400645191E-2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0.25925925925925902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1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0" s="5">
        <f>IF((DiscreteStatsTable[[#This Row],[RepsRequested]]&gt;1),DiscreteStatsTable[[#This Row],[HalfWidth]],DiscreteStatsTable[[#This Row],[BatchMeansHalfWidth]])</f>
        <v>2.2178777596145966E-2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30</v>
      </c>
      <c r="Y250" s="5">
        <f>IF(DiscreteStatsTable[[#This Row],[RepsRequested]]=DiscreteStatsTable[[#This Row],[RepsWithStatObserved]],1,0)</f>
        <v>1</v>
      </c>
    </row>
    <row r="251" spans="1:25">
      <c r="A251" t="s">
        <v>67</v>
      </c>
      <c r="B251" t="s">
        <v>70</v>
      </c>
      <c r="C251">
        <v>10</v>
      </c>
      <c r="D251" t="s">
        <v>83</v>
      </c>
      <c r="E251" t="s">
        <v>84</v>
      </c>
      <c r="F251" t="s">
        <v>85</v>
      </c>
      <c r="G251">
        <v>0</v>
      </c>
      <c r="H251">
        <v>0</v>
      </c>
      <c r="I251">
        <v>0</v>
      </c>
      <c r="J251">
        <v>0</v>
      </c>
      <c r="K251">
        <v>670</v>
      </c>
      <c r="L251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30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5.8802791400645191E-2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0.25925925925925902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1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1" s="5">
        <f>IF((DiscreteStatsTable[[#This Row],[RepsRequested]]&gt;1),DiscreteStatsTable[[#This Row],[HalfWidth]],DiscreteStatsTable[[#This Row],[BatchMeansHalfWidth]])</f>
        <v>2.2178777596145966E-2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30</v>
      </c>
      <c r="Y251" s="5">
        <f>IF(DiscreteStatsTable[[#This Row],[RepsRequested]]=DiscreteStatsTable[[#This Row],[RepsWithStatObserved]],1,0)</f>
        <v>1</v>
      </c>
    </row>
    <row r="252" spans="1:25">
      <c r="A252" t="s">
        <v>67</v>
      </c>
      <c r="B252" t="s">
        <v>70</v>
      </c>
      <c r="C252">
        <v>11</v>
      </c>
      <c r="D252" t="s">
        <v>83</v>
      </c>
      <c r="E252" t="s">
        <v>84</v>
      </c>
      <c r="F252" t="s">
        <v>85</v>
      </c>
      <c r="G252">
        <v>0.14221556886227599</v>
      </c>
      <c r="H252">
        <v>3E+20</v>
      </c>
      <c r="I252">
        <v>0</v>
      </c>
      <c r="J252">
        <v>1</v>
      </c>
      <c r="K252">
        <v>668</v>
      </c>
      <c r="L252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30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5.8802791400645191E-2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0.25925925925925902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1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2" s="5">
        <f>IF((DiscreteStatsTable[[#This Row],[RepsRequested]]&gt;1),DiscreteStatsTable[[#This Row],[HalfWidth]],DiscreteStatsTable[[#This Row],[BatchMeansHalfWidth]])</f>
        <v>2.2178777596145966E-2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30</v>
      </c>
      <c r="Y252" s="5">
        <f>IF(DiscreteStatsTable[[#This Row],[RepsRequested]]=DiscreteStatsTable[[#This Row],[RepsWithStatObserved]],1,0)</f>
        <v>1</v>
      </c>
    </row>
    <row r="253" spans="1:25">
      <c r="A253" t="s">
        <v>67</v>
      </c>
      <c r="B253" t="s">
        <v>70</v>
      </c>
      <c r="C253">
        <v>12</v>
      </c>
      <c r="D253" t="s">
        <v>83</v>
      </c>
      <c r="E253" t="s">
        <v>84</v>
      </c>
      <c r="F253" t="s">
        <v>85</v>
      </c>
      <c r="G253">
        <v>8.9208633093525197E-2</v>
      </c>
      <c r="H253">
        <v>3E+20</v>
      </c>
      <c r="I253">
        <v>0</v>
      </c>
      <c r="J253">
        <v>1</v>
      </c>
      <c r="K253">
        <v>695</v>
      </c>
      <c r="L253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30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5.8802791400645191E-2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0.25925925925925902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1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3" s="5">
        <f>IF((DiscreteStatsTable[[#This Row],[RepsRequested]]&gt;1),DiscreteStatsTable[[#This Row],[HalfWidth]],DiscreteStatsTable[[#This Row],[BatchMeansHalfWidth]])</f>
        <v>2.2178777596145966E-2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30</v>
      </c>
      <c r="Y253" s="5">
        <f>IF(DiscreteStatsTable[[#This Row],[RepsRequested]]=DiscreteStatsTable[[#This Row],[RepsWithStatObserved]],1,0)</f>
        <v>1</v>
      </c>
    </row>
    <row r="254" spans="1:25">
      <c r="A254" t="s">
        <v>67</v>
      </c>
      <c r="B254" t="s">
        <v>70</v>
      </c>
      <c r="C254">
        <v>13</v>
      </c>
      <c r="D254" t="s">
        <v>83</v>
      </c>
      <c r="E254" t="s">
        <v>84</v>
      </c>
      <c r="F254" t="s">
        <v>85</v>
      </c>
      <c r="G254">
        <v>6.19195046439628E-3</v>
      </c>
      <c r="H254">
        <v>1.2749999999999999E-2</v>
      </c>
      <c r="I254">
        <v>0</v>
      </c>
      <c r="J254">
        <v>1</v>
      </c>
      <c r="K254">
        <v>646</v>
      </c>
      <c r="L254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30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5.8802791400645191E-2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0.25925925925925902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1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4" s="5">
        <f>IF((DiscreteStatsTable[[#This Row],[RepsRequested]]&gt;1),DiscreteStatsTable[[#This Row],[HalfWidth]],DiscreteStatsTable[[#This Row],[BatchMeansHalfWidth]])</f>
        <v>2.2178777596145966E-2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30</v>
      </c>
      <c r="Y254" s="5">
        <f>IF(DiscreteStatsTable[[#This Row],[RepsRequested]]=DiscreteStatsTable[[#This Row],[RepsWithStatObserved]],1,0)</f>
        <v>1</v>
      </c>
    </row>
    <row r="255" spans="1:25">
      <c r="A255" t="s">
        <v>67</v>
      </c>
      <c r="B255" t="s">
        <v>70</v>
      </c>
      <c r="C255">
        <v>14</v>
      </c>
      <c r="D255" t="s">
        <v>83</v>
      </c>
      <c r="E255" t="s">
        <v>84</v>
      </c>
      <c r="F255" t="s">
        <v>85</v>
      </c>
      <c r="G255">
        <v>5.6521739130434803E-2</v>
      </c>
      <c r="H255">
        <v>6.1889018824357399E-2</v>
      </c>
      <c r="I255">
        <v>0</v>
      </c>
      <c r="J255">
        <v>1</v>
      </c>
      <c r="K255">
        <v>690</v>
      </c>
      <c r="L255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30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5.8802791400645191E-2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0.25925925925925902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1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5" s="5">
        <f>IF((DiscreteStatsTable[[#This Row],[RepsRequested]]&gt;1),DiscreteStatsTable[[#This Row],[HalfWidth]],DiscreteStatsTable[[#This Row],[BatchMeansHalfWidth]])</f>
        <v>2.2178777596145966E-2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30</v>
      </c>
      <c r="Y255" s="5">
        <f>IF(DiscreteStatsTable[[#This Row],[RepsRequested]]=DiscreteStatsTable[[#This Row],[RepsWithStatObserved]],1,0)</f>
        <v>1</v>
      </c>
    </row>
    <row r="256" spans="1:25">
      <c r="A256" t="s">
        <v>67</v>
      </c>
      <c r="B256" t="s">
        <v>70</v>
      </c>
      <c r="C256">
        <v>15</v>
      </c>
      <c r="D256" t="s">
        <v>83</v>
      </c>
      <c r="E256" t="s">
        <v>84</v>
      </c>
      <c r="F256" t="s">
        <v>85</v>
      </c>
      <c r="G256">
        <v>1.57367668097282E-2</v>
      </c>
      <c r="H256">
        <v>2.8314356389961898E-2</v>
      </c>
      <c r="I256">
        <v>0</v>
      </c>
      <c r="J256">
        <v>1</v>
      </c>
      <c r="K256">
        <v>699</v>
      </c>
      <c r="L256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30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5.8802791400645191E-2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0.25925925925925902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1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6" s="5">
        <f>IF((DiscreteStatsTable[[#This Row],[RepsRequested]]&gt;1),DiscreteStatsTable[[#This Row],[HalfWidth]],DiscreteStatsTable[[#This Row],[BatchMeansHalfWidth]])</f>
        <v>2.2178777596145966E-2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30</v>
      </c>
      <c r="Y256" s="5">
        <f>IF(DiscreteStatsTable[[#This Row],[RepsRequested]]=DiscreteStatsTable[[#This Row],[RepsWithStatObserved]],1,0)</f>
        <v>1</v>
      </c>
    </row>
    <row r="257" spans="1:25">
      <c r="A257" t="s">
        <v>67</v>
      </c>
      <c r="B257" t="s">
        <v>70</v>
      </c>
      <c r="C257">
        <v>16</v>
      </c>
      <c r="D257" t="s">
        <v>83</v>
      </c>
      <c r="E257" t="s">
        <v>84</v>
      </c>
      <c r="F257" t="s">
        <v>85</v>
      </c>
      <c r="G257">
        <v>0.12765957446808501</v>
      </c>
      <c r="H257">
        <v>3E+20</v>
      </c>
      <c r="I257">
        <v>0</v>
      </c>
      <c r="J257">
        <v>1</v>
      </c>
      <c r="K257">
        <v>705</v>
      </c>
      <c r="L257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30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5.8802791400645191E-2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0.25925925925925902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1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7" s="5">
        <f>IF((DiscreteStatsTable[[#This Row],[RepsRequested]]&gt;1),DiscreteStatsTable[[#This Row],[HalfWidth]],DiscreteStatsTable[[#This Row],[BatchMeansHalfWidth]])</f>
        <v>2.2178777596145966E-2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30</v>
      </c>
      <c r="Y257" s="5">
        <f>IF(DiscreteStatsTable[[#This Row],[RepsRequested]]=DiscreteStatsTable[[#This Row],[RepsWithStatObserved]],1,0)</f>
        <v>1</v>
      </c>
    </row>
    <row r="258" spans="1:25">
      <c r="A258" t="s">
        <v>67</v>
      </c>
      <c r="B258" t="s">
        <v>70</v>
      </c>
      <c r="C258">
        <v>17</v>
      </c>
      <c r="D258" t="s">
        <v>83</v>
      </c>
      <c r="E258" t="s">
        <v>84</v>
      </c>
      <c r="F258" t="s">
        <v>85</v>
      </c>
      <c r="G258">
        <v>0.15384615384615399</v>
      </c>
      <c r="H258">
        <v>3E+20</v>
      </c>
      <c r="I258">
        <v>0</v>
      </c>
      <c r="J258">
        <v>1</v>
      </c>
      <c r="K258">
        <v>676</v>
      </c>
      <c r="L258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30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5.8802791400645191E-2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0.25925925925925902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1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8" s="5">
        <f>IF((DiscreteStatsTable[[#This Row],[RepsRequested]]&gt;1),DiscreteStatsTable[[#This Row],[HalfWidth]],DiscreteStatsTable[[#This Row],[BatchMeansHalfWidth]])</f>
        <v>2.2178777596145966E-2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30</v>
      </c>
      <c r="Y258" s="5">
        <f>IF(DiscreteStatsTable[[#This Row],[RepsRequested]]=DiscreteStatsTable[[#This Row],[RepsWithStatObserved]],1,0)</f>
        <v>1</v>
      </c>
    </row>
    <row r="259" spans="1:25">
      <c r="A259" t="s">
        <v>67</v>
      </c>
      <c r="B259" t="s">
        <v>70</v>
      </c>
      <c r="C259">
        <v>18</v>
      </c>
      <c r="D259" t="s">
        <v>83</v>
      </c>
      <c r="E259" t="s">
        <v>84</v>
      </c>
      <c r="F259" t="s">
        <v>85</v>
      </c>
      <c r="G259">
        <v>9.28792569659442E-3</v>
      </c>
      <c r="H259">
        <v>3E+20</v>
      </c>
      <c r="I259">
        <v>0</v>
      </c>
      <c r="J259">
        <v>1</v>
      </c>
      <c r="K259">
        <v>646</v>
      </c>
      <c r="L259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30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5.8802791400645191E-2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0.25925925925925902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1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59" s="5">
        <f>IF((DiscreteStatsTable[[#This Row],[RepsRequested]]&gt;1),DiscreteStatsTable[[#This Row],[HalfWidth]],DiscreteStatsTable[[#This Row],[BatchMeansHalfWidth]])</f>
        <v>2.2178777596145966E-2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30</v>
      </c>
      <c r="Y259" s="5">
        <f>IF(DiscreteStatsTable[[#This Row],[RepsRequested]]=DiscreteStatsTable[[#This Row],[RepsWithStatObserved]],1,0)</f>
        <v>1</v>
      </c>
    </row>
    <row r="260" spans="1:25">
      <c r="A260" t="s">
        <v>67</v>
      </c>
      <c r="B260" t="s">
        <v>70</v>
      </c>
      <c r="C260">
        <v>19</v>
      </c>
      <c r="D260" t="s">
        <v>83</v>
      </c>
      <c r="E260" t="s">
        <v>84</v>
      </c>
      <c r="F260" t="s">
        <v>85</v>
      </c>
      <c r="G260">
        <v>2.7536231884058002E-2</v>
      </c>
      <c r="H260">
        <v>3.67945243557984E-2</v>
      </c>
      <c r="I260">
        <v>0</v>
      </c>
      <c r="J260">
        <v>1</v>
      </c>
      <c r="K260">
        <v>690</v>
      </c>
      <c r="L260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30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5.8802791400645191E-2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0.25925925925925902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1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0" s="5">
        <f>IF((DiscreteStatsTable[[#This Row],[RepsRequested]]&gt;1),DiscreteStatsTable[[#This Row],[HalfWidth]],DiscreteStatsTable[[#This Row],[BatchMeansHalfWidth]])</f>
        <v>2.2178777596145966E-2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30</v>
      </c>
      <c r="Y260" s="5">
        <f>IF(DiscreteStatsTable[[#This Row],[RepsRequested]]=DiscreteStatsTable[[#This Row],[RepsWithStatObserved]],1,0)</f>
        <v>1</v>
      </c>
    </row>
    <row r="261" spans="1:25">
      <c r="A261" t="s">
        <v>67</v>
      </c>
      <c r="B261" t="s">
        <v>70</v>
      </c>
      <c r="C261">
        <v>20</v>
      </c>
      <c r="D261" t="s">
        <v>83</v>
      </c>
      <c r="E261" t="s">
        <v>84</v>
      </c>
      <c r="F261" t="s">
        <v>85</v>
      </c>
      <c r="G261">
        <v>4.5383411580594703E-2</v>
      </c>
      <c r="H261">
        <v>4.8837306731711001E-2</v>
      </c>
      <c r="I261">
        <v>0</v>
      </c>
      <c r="J261">
        <v>1</v>
      </c>
      <c r="K261">
        <v>639</v>
      </c>
      <c r="L261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30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5.8802791400645191E-2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0.25925925925925902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1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1" s="5">
        <f>IF((DiscreteStatsTable[[#This Row],[RepsRequested]]&gt;1),DiscreteStatsTable[[#This Row],[HalfWidth]],DiscreteStatsTable[[#This Row],[BatchMeansHalfWidth]])</f>
        <v>2.2178777596145966E-2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30</v>
      </c>
      <c r="Y261" s="5">
        <f>IF(DiscreteStatsTable[[#This Row],[RepsRequested]]=DiscreteStatsTable[[#This Row],[RepsWithStatObserved]],1,0)</f>
        <v>1</v>
      </c>
    </row>
    <row r="262" spans="1:25">
      <c r="A262" t="s">
        <v>67</v>
      </c>
      <c r="B262" t="s">
        <v>70</v>
      </c>
      <c r="C262">
        <v>21</v>
      </c>
      <c r="D262" t="s">
        <v>83</v>
      </c>
      <c r="E262" t="s">
        <v>84</v>
      </c>
      <c r="F262" t="s">
        <v>85</v>
      </c>
      <c r="G262">
        <v>1.32743362831859E-2</v>
      </c>
      <c r="H262">
        <v>1.5949497118509199E-2</v>
      </c>
      <c r="I262">
        <v>0</v>
      </c>
      <c r="J262">
        <v>1</v>
      </c>
      <c r="K262">
        <v>678</v>
      </c>
      <c r="L262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30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5.8802791400645191E-2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0.25925925925925902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1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2" s="5">
        <f>IF((DiscreteStatsTable[[#This Row],[RepsRequested]]&gt;1),DiscreteStatsTable[[#This Row],[HalfWidth]],DiscreteStatsTable[[#This Row],[BatchMeansHalfWidth]])</f>
        <v>2.2178777596145966E-2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30</v>
      </c>
      <c r="Y262" s="5">
        <f>IF(DiscreteStatsTable[[#This Row],[RepsRequested]]=DiscreteStatsTable[[#This Row],[RepsWithStatObserved]],1,0)</f>
        <v>1</v>
      </c>
    </row>
    <row r="263" spans="1:25">
      <c r="A263" t="s">
        <v>67</v>
      </c>
      <c r="B263" t="s">
        <v>70</v>
      </c>
      <c r="C263">
        <v>22</v>
      </c>
      <c r="D263" t="s">
        <v>83</v>
      </c>
      <c r="E263" t="s">
        <v>84</v>
      </c>
      <c r="F263" t="s">
        <v>85</v>
      </c>
      <c r="G263">
        <v>1.2066365007541499E-2</v>
      </c>
      <c r="H263">
        <v>2.6162500000000002E-2</v>
      </c>
      <c r="I263">
        <v>0</v>
      </c>
      <c r="J263">
        <v>1</v>
      </c>
      <c r="K263">
        <v>663</v>
      </c>
      <c r="L263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30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5.8802791400645191E-2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0.25925925925925902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1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3" s="5">
        <f>IF((DiscreteStatsTable[[#This Row],[RepsRequested]]&gt;1),DiscreteStatsTable[[#This Row],[HalfWidth]],DiscreteStatsTable[[#This Row],[BatchMeansHalfWidth]])</f>
        <v>2.2178777596145966E-2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30</v>
      </c>
      <c r="Y263" s="5">
        <f>IF(DiscreteStatsTable[[#This Row],[RepsRequested]]=DiscreteStatsTable[[#This Row],[RepsWithStatObserved]],1,0)</f>
        <v>1</v>
      </c>
    </row>
    <row r="264" spans="1:25">
      <c r="A264" t="s">
        <v>67</v>
      </c>
      <c r="B264" t="s">
        <v>70</v>
      </c>
      <c r="C264">
        <v>23</v>
      </c>
      <c r="D264" t="s">
        <v>83</v>
      </c>
      <c r="E264" t="s">
        <v>84</v>
      </c>
      <c r="F264" t="s">
        <v>85</v>
      </c>
      <c r="G264">
        <v>0.108786610878661</v>
      </c>
      <c r="H264">
        <v>0.105342622349321</v>
      </c>
      <c r="I264">
        <v>0</v>
      </c>
      <c r="J264">
        <v>1</v>
      </c>
      <c r="K264">
        <v>717</v>
      </c>
      <c r="L264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30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5.8802791400645191E-2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0.25925925925925902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1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4" s="5">
        <f>IF((DiscreteStatsTable[[#This Row],[RepsRequested]]&gt;1),DiscreteStatsTable[[#This Row],[HalfWidth]],DiscreteStatsTable[[#This Row],[BatchMeansHalfWidth]])</f>
        <v>2.2178777596145966E-2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30</v>
      </c>
      <c r="Y264" s="5">
        <f>IF(DiscreteStatsTable[[#This Row],[RepsRequested]]=DiscreteStatsTable[[#This Row],[RepsWithStatObserved]],1,0)</f>
        <v>1</v>
      </c>
    </row>
    <row r="265" spans="1:25">
      <c r="A265" t="s">
        <v>67</v>
      </c>
      <c r="B265" t="s">
        <v>70</v>
      </c>
      <c r="C265">
        <v>24</v>
      </c>
      <c r="D265" t="s">
        <v>83</v>
      </c>
      <c r="E265" t="s">
        <v>84</v>
      </c>
      <c r="F265" t="s">
        <v>85</v>
      </c>
      <c r="G265">
        <v>8.1818181818181707E-2</v>
      </c>
      <c r="H265">
        <v>8.8530814776481406E-2</v>
      </c>
      <c r="I265">
        <v>0</v>
      </c>
      <c r="J265">
        <v>1</v>
      </c>
      <c r="K265">
        <v>660</v>
      </c>
      <c r="L265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30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5.8802791400645191E-2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0.25925925925925902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1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5" s="5">
        <f>IF((DiscreteStatsTable[[#This Row],[RepsRequested]]&gt;1),DiscreteStatsTable[[#This Row],[HalfWidth]],DiscreteStatsTable[[#This Row],[BatchMeansHalfWidth]])</f>
        <v>2.2178777596145966E-2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30</v>
      </c>
      <c r="Y265" s="5">
        <f>IF(DiscreteStatsTable[[#This Row],[RepsRequested]]=DiscreteStatsTable[[#This Row],[RepsWithStatObserved]],1,0)</f>
        <v>1</v>
      </c>
    </row>
    <row r="266" spans="1:25">
      <c r="A266" t="s">
        <v>67</v>
      </c>
      <c r="B266" t="s">
        <v>70</v>
      </c>
      <c r="C266">
        <v>25</v>
      </c>
      <c r="D266" t="s">
        <v>83</v>
      </c>
      <c r="E266" t="s">
        <v>84</v>
      </c>
      <c r="F266" t="s">
        <v>85</v>
      </c>
      <c r="G266">
        <v>5.2932761087267501E-2</v>
      </c>
      <c r="H266">
        <v>6.57907602323035E-2</v>
      </c>
      <c r="I266">
        <v>0</v>
      </c>
      <c r="J266">
        <v>1</v>
      </c>
      <c r="K266">
        <v>699</v>
      </c>
      <c r="L266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30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5.8802791400645191E-2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0.25925925925925902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1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6" s="5">
        <f>IF((DiscreteStatsTable[[#This Row],[RepsRequested]]&gt;1),DiscreteStatsTable[[#This Row],[HalfWidth]],DiscreteStatsTable[[#This Row],[BatchMeansHalfWidth]])</f>
        <v>2.2178777596145966E-2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30</v>
      </c>
      <c r="Y266" s="5">
        <f>IF(DiscreteStatsTable[[#This Row],[RepsRequested]]=DiscreteStatsTable[[#This Row],[RepsWithStatObserved]],1,0)</f>
        <v>1</v>
      </c>
    </row>
    <row r="267" spans="1:25">
      <c r="A267" t="s">
        <v>67</v>
      </c>
      <c r="B267" t="s">
        <v>70</v>
      </c>
      <c r="C267">
        <v>26</v>
      </c>
      <c r="D267" t="s">
        <v>83</v>
      </c>
      <c r="E267" t="s">
        <v>84</v>
      </c>
      <c r="F267" t="s">
        <v>85</v>
      </c>
      <c r="G267">
        <v>0.108108108108108</v>
      </c>
      <c r="H267">
        <v>8.3489965818420997E-2</v>
      </c>
      <c r="I267">
        <v>0</v>
      </c>
      <c r="J267">
        <v>1</v>
      </c>
      <c r="K267">
        <v>703</v>
      </c>
      <c r="L267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30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5.8802791400645191E-2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0.25925925925925902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1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7" s="5">
        <f>IF((DiscreteStatsTable[[#This Row],[RepsRequested]]&gt;1),DiscreteStatsTable[[#This Row],[HalfWidth]],DiscreteStatsTable[[#This Row],[BatchMeansHalfWidth]])</f>
        <v>2.2178777596145966E-2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30</v>
      </c>
      <c r="Y267" s="5">
        <f>IF(DiscreteStatsTable[[#This Row],[RepsRequested]]=DiscreteStatsTable[[#This Row],[RepsWithStatObserved]],1,0)</f>
        <v>1</v>
      </c>
    </row>
    <row r="268" spans="1:25">
      <c r="A268" t="s">
        <v>67</v>
      </c>
      <c r="B268" t="s">
        <v>70</v>
      </c>
      <c r="C268">
        <v>27</v>
      </c>
      <c r="D268" t="s">
        <v>83</v>
      </c>
      <c r="E268" t="s">
        <v>84</v>
      </c>
      <c r="F268" t="s">
        <v>85</v>
      </c>
      <c r="G268">
        <v>1.5822784810126601E-2</v>
      </c>
      <c r="H268">
        <v>2.37530423890151E-2</v>
      </c>
      <c r="I268">
        <v>0</v>
      </c>
      <c r="J268">
        <v>1</v>
      </c>
      <c r="K268">
        <v>632</v>
      </c>
      <c r="L268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30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5.8802791400645191E-2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0.25925925925925902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1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8" s="5">
        <f>IF((DiscreteStatsTable[[#This Row],[RepsRequested]]&gt;1),DiscreteStatsTable[[#This Row],[HalfWidth]],DiscreteStatsTable[[#This Row],[BatchMeansHalfWidth]])</f>
        <v>2.2178777596145966E-2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30</v>
      </c>
      <c r="Y268" s="5">
        <f>IF(DiscreteStatsTable[[#This Row],[RepsRequested]]=DiscreteStatsTable[[#This Row],[RepsWithStatObserved]],1,0)</f>
        <v>1</v>
      </c>
    </row>
    <row r="269" spans="1:25">
      <c r="A269" t="s">
        <v>67</v>
      </c>
      <c r="B269" t="s">
        <v>70</v>
      </c>
      <c r="C269">
        <v>28</v>
      </c>
      <c r="D269" t="s">
        <v>83</v>
      </c>
      <c r="E269" t="s">
        <v>84</v>
      </c>
      <c r="F269" t="s">
        <v>85</v>
      </c>
      <c r="G269">
        <v>0.108345534407028</v>
      </c>
      <c r="H269">
        <v>3E+20</v>
      </c>
      <c r="I269">
        <v>0</v>
      </c>
      <c r="J269">
        <v>1</v>
      </c>
      <c r="K269">
        <v>683</v>
      </c>
      <c r="L269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30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5.8802791400645191E-2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0.25925925925925902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1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69" s="5">
        <f>IF((DiscreteStatsTable[[#This Row],[RepsRequested]]&gt;1),DiscreteStatsTable[[#This Row],[HalfWidth]],DiscreteStatsTable[[#This Row],[BatchMeansHalfWidth]])</f>
        <v>2.2178777596145966E-2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30</v>
      </c>
      <c r="Y269" s="5">
        <f>IF(DiscreteStatsTable[[#This Row],[RepsRequested]]=DiscreteStatsTable[[#This Row],[RepsWithStatObserved]],1,0)</f>
        <v>1</v>
      </c>
    </row>
    <row r="270" spans="1:25">
      <c r="A270" t="s">
        <v>67</v>
      </c>
      <c r="B270" t="s">
        <v>70</v>
      </c>
      <c r="C270">
        <v>29</v>
      </c>
      <c r="D270" t="s">
        <v>83</v>
      </c>
      <c r="E270" t="s">
        <v>84</v>
      </c>
      <c r="F270" t="s">
        <v>85</v>
      </c>
      <c r="G270">
        <v>0.25925925925925902</v>
      </c>
      <c r="H270">
        <v>3E+20</v>
      </c>
      <c r="I270">
        <v>0</v>
      </c>
      <c r="J270">
        <v>1</v>
      </c>
      <c r="K270">
        <v>729</v>
      </c>
      <c r="L270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30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5.8802791400645191E-2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0.25925925925925902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1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0" s="5">
        <f>IF((DiscreteStatsTable[[#This Row],[RepsRequested]]&gt;1),DiscreteStatsTable[[#This Row],[HalfWidth]],DiscreteStatsTable[[#This Row],[BatchMeansHalfWidth]])</f>
        <v>2.2178777596145966E-2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30</v>
      </c>
      <c r="Y270" s="5">
        <f>IF(DiscreteStatsTable[[#This Row],[RepsRequested]]=DiscreteStatsTable[[#This Row],[RepsWithStatObserved]],1,0)</f>
        <v>1</v>
      </c>
    </row>
    <row r="271" spans="1:25">
      <c r="A271" t="s">
        <v>67</v>
      </c>
      <c r="B271" t="s">
        <v>70</v>
      </c>
      <c r="C271">
        <v>30</v>
      </c>
      <c r="D271" t="s">
        <v>83</v>
      </c>
      <c r="E271" t="s">
        <v>84</v>
      </c>
      <c r="F271" t="s">
        <v>85</v>
      </c>
      <c r="G271">
        <v>1.4814814814814801E-3</v>
      </c>
      <c r="H271">
        <v>3.10416666666667E-3</v>
      </c>
      <c r="I271">
        <v>0</v>
      </c>
      <c r="J271">
        <v>1</v>
      </c>
      <c r="K271">
        <v>675</v>
      </c>
      <c r="L271" s="5" t="str">
        <f>DiscreteStatsTable[[#This Row],[ProjectName]]&amp;DiscreteStatsTable[[#This Row],[Name]]&amp;DiscreteStatsTable[[#This Row],[Type]]&amp;DiscreteStatsTable[[#This Row],[Source]]</f>
        <v>Unnamed ProjectProbabilidadmayor5ExpressionUser Specified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30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5.8802791400645191E-2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5.9395857252645602E-2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2.2178777596145966E-2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0.25925925925925902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1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1" s="5">
        <f>IF((DiscreteStatsTable[[#This Row],[RepsRequested]]&gt;1),DiscreteStatsTable[[#This Row],[HalfWidth]],DiscreteStatsTable[[#This Row],[BatchMeansHalfWidth]])</f>
        <v>2.2178777596145966E-2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30</v>
      </c>
      <c r="Y271" s="5">
        <f>IF(DiscreteStatsTable[[#This Row],[RepsRequested]]=DiscreteStatsTable[[#This Row],[RepsWithStatObserved]],1,0)</f>
        <v>1</v>
      </c>
    </row>
    <row r="272" spans="1:25">
      <c r="A272" t="s">
        <v>67</v>
      </c>
      <c r="B272" t="s">
        <v>70</v>
      </c>
      <c r="C272">
        <v>1</v>
      </c>
      <c r="D272" t="s">
        <v>86</v>
      </c>
      <c r="E272" t="s">
        <v>84</v>
      </c>
      <c r="F272" t="s">
        <v>85</v>
      </c>
      <c r="G272">
        <v>1.6695630164376001</v>
      </c>
      <c r="H272">
        <v>3E+20</v>
      </c>
      <c r="I272">
        <v>0</v>
      </c>
      <c r="J272">
        <v>7.6149543765270096</v>
      </c>
      <c r="K272">
        <v>703</v>
      </c>
      <c r="L272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30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1.6015522519765757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0.89357558090575995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3.2802088127851201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14.282258531030999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2" s="5">
        <f>IF((DiscreteStatsTable[[#This Row],[RepsRequested]]&gt;1),DiscreteStatsTable[[#This Row],[HalfWidth]],DiscreteStatsTable[[#This Row],[BatchMeansHalfWidth]])</f>
        <v>0.19051987014078101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30</v>
      </c>
      <c r="Y272" s="5">
        <f>IF(DiscreteStatsTable[[#This Row],[RepsRequested]]=DiscreteStatsTable[[#This Row],[RepsWithStatObserved]],1,0)</f>
        <v>1</v>
      </c>
    </row>
    <row r="273" spans="1:25">
      <c r="A273" t="s">
        <v>67</v>
      </c>
      <c r="B273" t="s">
        <v>70</v>
      </c>
      <c r="C273">
        <v>2</v>
      </c>
      <c r="D273" t="s">
        <v>86</v>
      </c>
      <c r="E273" t="s">
        <v>84</v>
      </c>
      <c r="F273" t="s">
        <v>85</v>
      </c>
      <c r="G273">
        <v>1.3012456962696299</v>
      </c>
      <c r="H273">
        <v>0.32382189161082597</v>
      </c>
      <c r="I273">
        <v>0</v>
      </c>
      <c r="J273">
        <v>4.5671924774518704</v>
      </c>
      <c r="K273">
        <v>679</v>
      </c>
      <c r="L273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30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1.6015522519765757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0.89357558090575995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3.2802088127851201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14.282258531030999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3" s="5">
        <f>IF((DiscreteStatsTable[[#This Row],[RepsRequested]]&gt;1),DiscreteStatsTable[[#This Row],[HalfWidth]],DiscreteStatsTable[[#This Row],[BatchMeansHalfWidth]])</f>
        <v>0.19051987014078101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30</v>
      </c>
      <c r="Y273" s="5">
        <f>IF(DiscreteStatsTable[[#This Row],[RepsRequested]]=DiscreteStatsTable[[#This Row],[RepsWithStatObserved]],1,0)</f>
        <v>1</v>
      </c>
    </row>
    <row r="274" spans="1:25">
      <c r="A274" t="s">
        <v>67</v>
      </c>
      <c r="B274" t="s">
        <v>70</v>
      </c>
      <c r="C274">
        <v>3</v>
      </c>
      <c r="D274" t="s">
        <v>86</v>
      </c>
      <c r="E274" t="s">
        <v>84</v>
      </c>
      <c r="F274" t="s">
        <v>85</v>
      </c>
      <c r="G274">
        <v>1.65328729975796</v>
      </c>
      <c r="H274">
        <v>0.77897390127316302</v>
      </c>
      <c r="I274">
        <v>0</v>
      </c>
      <c r="J274">
        <v>8.9310640927880591</v>
      </c>
      <c r="K274">
        <v>659</v>
      </c>
      <c r="L274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30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1.6015522519765757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0.89357558090575995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3.2802088127851201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14.282258531030999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4" s="5">
        <f>IF((DiscreteStatsTable[[#This Row],[RepsRequested]]&gt;1),DiscreteStatsTable[[#This Row],[HalfWidth]],DiscreteStatsTable[[#This Row],[BatchMeansHalfWidth]])</f>
        <v>0.19051987014078101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30</v>
      </c>
      <c r="Y274" s="5">
        <f>IF(DiscreteStatsTable[[#This Row],[RepsRequested]]=DiscreteStatsTable[[#This Row],[RepsWithStatObserved]],1,0)</f>
        <v>1</v>
      </c>
    </row>
    <row r="275" spans="1:25">
      <c r="A275" t="s">
        <v>67</v>
      </c>
      <c r="B275" t="s">
        <v>70</v>
      </c>
      <c r="C275">
        <v>4</v>
      </c>
      <c r="D275" t="s">
        <v>86</v>
      </c>
      <c r="E275" t="s">
        <v>84</v>
      </c>
      <c r="F275" t="s">
        <v>85</v>
      </c>
      <c r="G275">
        <v>1.71138679192927</v>
      </c>
      <c r="H275">
        <v>0.75743768840846704</v>
      </c>
      <c r="I275">
        <v>0</v>
      </c>
      <c r="J275">
        <v>8.7457176495751394</v>
      </c>
      <c r="K275">
        <v>696</v>
      </c>
      <c r="L275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30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1.6015522519765757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0.89357558090575995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3.2802088127851201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14.282258531030999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5" s="5">
        <f>IF((DiscreteStatsTable[[#This Row],[RepsRequested]]&gt;1),DiscreteStatsTable[[#This Row],[HalfWidth]],DiscreteStatsTable[[#This Row],[BatchMeansHalfWidth]])</f>
        <v>0.19051987014078101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30</v>
      </c>
      <c r="Y275" s="5">
        <f>IF(DiscreteStatsTable[[#This Row],[RepsRequested]]=DiscreteStatsTable[[#This Row],[RepsWithStatObserved]],1,0)</f>
        <v>1</v>
      </c>
    </row>
    <row r="276" spans="1:25">
      <c r="A276" t="s">
        <v>67</v>
      </c>
      <c r="B276" t="s">
        <v>70</v>
      </c>
      <c r="C276">
        <v>5</v>
      </c>
      <c r="D276" t="s">
        <v>86</v>
      </c>
      <c r="E276" t="s">
        <v>84</v>
      </c>
      <c r="F276" t="s">
        <v>85</v>
      </c>
      <c r="G276">
        <v>1.5114530352209099</v>
      </c>
      <c r="H276">
        <v>0.49557086139269102</v>
      </c>
      <c r="I276">
        <v>0</v>
      </c>
      <c r="J276">
        <v>6.88793206282645</v>
      </c>
      <c r="K276">
        <v>701</v>
      </c>
      <c r="L276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30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1.6015522519765757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0.89357558090575995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3.2802088127851201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14.282258531030999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6" s="5">
        <f>IF((DiscreteStatsTable[[#This Row],[RepsRequested]]&gt;1),DiscreteStatsTable[[#This Row],[HalfWidth]],DiscreteStatsTable[[#This Row],[BatchMeansHalfWidth]])</f>
        <v>0.19051987014078101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30</v>
      </c>
      <c r="Y276" s="5">
        <f>IF(DiscreteStatsTable[[#This Row],[RepsRequested]]=DiscreteStatsTable[[#This Row],[RepsWithStatObserved]],1,0)</f>
        <v>1</v>
      </c>
    </row>
    <row r="277" spans="1:25">
      <c r="A277" t="s">
        <v>67</v>
      </c>
      <c r="B277" t="s">
        <v>70</v>
      </c>
      <c r="C277">
        <v>6</v>
      </c>
      <c r="D277" t="s">
        <v>86</v>
      </c>
      <c r="E277" t="s">
        <v>84</v>
      </c>
      <c r="F277" t="s">
        <v>85</v>
      </c>
      <c r="G277">
        <v>1.26013605548956</v>
      </c>
      <c r="H277">
        <v>0.70154762975862495</v>
      </c>
      <c r="I277">
        <v>0</v>
      </c>
      <c r="J277">
        <v>8.6383385086734794</v>
      </c>
      <c r="K277">
        <v>658</v>
      </c>
      <c r="L277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30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1.6015522519765757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0.89357558090575995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3.2802088127851201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14.282258531030999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7" s="5">
        <f>IF((DiscreteStatsTable[[#This Row],[RepsRequested]]&gt;1),DiscreteStatsTable[[#This Row],[HalfWidth]],DiscreteStatsTable[[#This Row],[BatchMeansHalfWidth]])</f>
        <v>0.19051987014078101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30</v>
      </c>
      <c r="Y277" s="5">
        <f>IF(DiscreteStatsTable[[#This Row],[RepsRequested]]=DiscreteStatsTable[[#This Row],[RepsWithStatObserved]],1,0)</f>
        <v>1</v>
      </c>
    </row>
    <row r="278" spans="1:25">
      <c r="A278" t="s">
        <v>67</v>
      </c>
      <c r="B278" t="s">
        <v>70</v>
      </c>
      <c r="C278">
        <v>7</v>
      </c>
      <c r="D278" t="s">
        <v>86</v>
      </c>
      <c r="E278" t="s">
        <v>84</v>
      </c>
      <c r="F278" t="s">
        <v>85</v>
      </c>
      <c r="G278">
        <v>1.6484515993422799</v>
      </c>
      <c r="H278">
        <v>0.47244635769695398</v>
      </c>
      <c r="I278">
        <v>0</v>
      </c>
      <c r="J278">
        <v>6.4942548100423796</v>
      </c>
      <c r="K278">
        <v>707</v>
      </c>
      <c r="L278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30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1.6015522519765757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0.89357558090575995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3.2802088127851201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14.282258531030999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8" s="5">
        <f>IF((DiscreteStatsTable[[#This Row],[RepsRequested]]&gt;1),DiscreteStatsTable[[#This Row],[HalfWidth]],DiscreteStatsTable[[#This Row],[BatchMeansHalfWidth]])</f>
        <v>0.19051987014078101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30</v>
      </c>
      <c r="Y278" s="5">
        <f>IF(DiscreteStatsTable[[#This Row],[RepsRequested]]=DiscreteStatsTable[[#This Row],[RepsWithStatObserved]],1,0)</f>
        <v>1</v>
      </c>
    </row>
    <row r="279" spans="1:25">
      <c r="A279" t="s">
        <v>67</v>
      </c>
      <c r="B279" t="s">
        <v>70</v>
      </c>
      <c r="C279">
        <v>8</v>
      </c>
      <c r="D279" t="s">
        <v>86</v>
      </c>
      <c r="E279" t="s">
        <v>84</v>
      </c>
      <c r="F279" t="s">
        <v>85</v>
      </c>
      <c r="G279">
        <v>1.39294136367296</v>
      </c>
      <c r="H279">
        <v>0.53743949150755699</v>
      </c>
      <c r="I279">
        <v>0</v>
      </c>
      <c r="J279">
        <v>6.4421888342566804</v>
      </c>
      <c r="K279">
        <v>662</v>
      </c>
      <c r="L279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30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1.6015522519765757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0.89357558090575995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3.2802088127851201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14.282258531030999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79" s="5">
        <f>IF((DiscreteStatsTable[[#This Row],[RepsRequested]]&gt;1),DiscreteStatsTable[[#This Row],[HalfWidth]],DiscreteStatsTable[[#This Row],[BatchMeansHalfWidth]])</f>
        <v>0.19051987014078101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30</v>
      </c>
      <c r="Y279" s="5">
        <f>IF(DiscreteStatsTable[[#This Row],[RepsRequested]]=DiscreteStatsTable[[#This Row],[RepsWithStatObserved]],1,0)</f>
        <v>1</v>
      </c>
    </row>
    <row r="280" spans="1:25">
      <c r="A280" t="s">
        <v>67</v>
      </c>
      <c r="B280" t="s">
        <v>70</v>
      </c>
      <c r="C280">
        <v>9</v>
      </c>
      <c r="D280" t="s">
        <v>86</v>
      </c>
      <c r="E280" t="s">
        <v>84</v>
      </c>
      <c r="F280" t="s">
        <v>85</v>
      </c>
      <c r="G280">
        <v>0.959818270854919</v>
      </c>
      <c r="H280">
        <v>3E+20</v>
      </c>
      <c r="I280">
        <v>0</v>
      </c>
      <c r="J280">
        <v>5.3239026399232898</v>
      </c>
      <c r="K280">
        <v>649</v>
      </c>
      <c r="L280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30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1.6015522519765757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0.89357558090575995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3.2802088127851201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14.282258531030999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0" s="5">
        <f>IF((DiscreteStatsTable[[#This Row],[RepsRequested]]&gt;1),DiscreteStatsTable[[#This Row],[HalfWidth]],DiscreteStatsTable[[#This Row],[BatchMeansHalfWidth]])</f>
        <v>0.19051987014078101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30</v>
      </c>
      <c r="Y280" s="5">
        <f>IF(DiscreteStatsTable[[#This Row],[RepsRequested]]=DiscreteStatsTable[[#This Row],[RepsWithStatObserved]],1,0)</f>
        <v>1</v>
      </c>
    </row>
    <row r="281" spans="1:25">
      <c r="A281" t="s">
        <v>67</v>
      </c>
      <c r="B281" t="s">
        <v>70</v>
      </c>
      <c r="C281">
        <v>10</v>
      </c>
      <c r="D281" t="s">
        <v>86</v>
      </c>
      <c r="E281" t="s">
        <v>84</v>
      </c>
      <c r="F281" t="s">
        <v>85</v>
      </c>
      <c r="G281">
        <v>0.942915171427407</v>
      </c>
      <c r="H281">
        <v>3E+20</v>
      </c>
      <c r="I281">
        <v>0</v>
      </c>
      <c r="J281">
        <v>4.5788647967169904</v>
      </c>
      <c r="K281">
        <v>670</v>
      </c>
      <c r="L281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30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1.6015522519765757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0.89357558090575995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3.2802088127851201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14.282258531030999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1" s="5">
        <f>IF((DiscreteStatsTable[[#This Row],[RepsRequested]]&gt;1),DiscreteStatsTable[[#This Row],[HalfWidth]],DiscreteStatsTable[[#This Row],[BatchMeansHalfWidth]])</f>
        <v>0.19051987014078101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30</v>
      </c>
      <c r="Y281" s="5">
        <f>IF(DiscreteStatsTable[[#This Row],[RepsRequested]]=DiscreteStatsTable[[#This Row],[RepsWithStatObserved]],1,0)</f>
        <v>1</v>
      </c>
    </row>
    <row r="282" spans="1:25">
      <c r="A282" t="s">
        <v>67</v>
      </c>
      <c r="B282" t="s">
        <v>70</v>
      </c>
      <c r="C282">
        <v>11</v>
      </c>
      <c r="D282" t="s">
        <v>86</v>
      </c>
      <c r="E282" t="s">
        <v>84</v>
      </c>
      <c r="F282" t="s">
        <v>85</v>
      </c>
      <c r="G282">
        <v>1.96486766284576</v>
      </c>
      <c r="H282">
        <v>3E+20</v>
      </c>
      <c r="I282">
        <v>0</v>
      </c>
      <c r="J282">
        <v>10.342217988012999</v>
      </c>
      <c r="K282">
        <v>668</v>
      </c>
      <c r="L282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30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1.6015522519765757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0.89357558090575995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3.2802088127851201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14.282258531030999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2" s="5">
        <f>IF((DiscreteStatsTable[[#This Row],[RepsRequested]]&gt;1),DiscreteStatsTable[[#This Row],[HalfWidth]],DiscreteStatsTable[[#This Row],[BatchMeansHalfWidth]])</f>
        <v>0.19051987014078101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30</v>
      </c>
      <c r="Y282" s="5">
        <f>IF(DiscreteStatsTable[[#This Row],[RepsRequested]]=DiscreteStatsTable[[#This Row],[RepsWithStatObserved]],1,0)</f>
        <v>1</v>
      </c>
    </row>
    <row r="283" spans="1:25">
      <c r="A283" t="s">
        <v>67</v>
      </c>
      <c r="B283" t="s">
        <v>70</v>
      </c>
      <c r="C283">
        <v>12</v>
      </c>
      <c r="D283" t="s">
        <v>86</v>
      </c>
      <c r="E283" t="s">
        <v>84</v>
      </c>
      <c r="F283" t="s">
        <v>85</v>
      </c>
      <c r="G283">
        <v>2.1249892719333801</v>
      </c>
      <c r="H283">
        <v>3E+20</v>
      </c>
      <c r="I283">
        <v>0</v>
      </c>
      <c r="J283">
        <v>8.3094078146274306</v>
      </c>
      <c r="K283">
        <v>695</v>
      </c>
      <c r="L283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30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1.6015522519765757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0.89357558090575995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3.2802088127851201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14.282258531030999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3" s="5">
        <f>IF((DiscreteStatsTable[[#This Row],[RepsRequested]]&gt;1),DiscreteStatsTable[[#This Row],[HalfWidth]],DiscreteStatsTable[[#This Row],[BatchMeansHalfWidth]])</f>
        <v>0.19051987014078101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30</v>
      </c>
      <c r="Y283" s="5">
        <f>IF(DiscreteStatsTable[[#This Row],[RepsRequested]]=DiscreteStatsTable[[#This Row],[RepsWithStatObserved]],1,0)</f>
        <v>1</v>
      </c>
    </row>
    <row r="284" spans="1:25">
      <c r="A284" t="s">
        <v>67</v>
      </c>
      <c r="B284" t="s">
        <v>70</v>
      </c>
      <c r="C284">
        <v>13</v>
      </c>
      <c r="D284" t="s">
        <v>86</v>
      </c>
      <c r="E284" t="s">
        <v>84</v>
      </c>
      <c r="F284" t="s">
        <v>85</v>
      </c>
      <c r="G284">
        <v>0.89357558090575995</v>
      </c>
      <c r="H284">
        <v>3E+20</v>
      </c>
      <c r="I284">
        <v>0</v>
      </c>
      <c r="J284">
        <v>5.6764045000728602</v>
      </c>
      <c r="K284">
        <v>646</v>
      </c>
      <c r="L284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30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1.6015522519765757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0.89357558090575995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3.2802088127851201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14.282258531030999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4" s="5">
        <f>IF((DiscreteStatsTable[[#This Row],[RepsRequested]]&gt;1),DiscreteStatsTable[[#This Row],[HalfWidth]],DiscreteStatsTable[[#This Row],[BatchMeansHalfWidth]])</f>
        <v>0.19051987014078101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30</v>
      </c>
      <c r="Y284" s="5">
        <f>IF(DiscreteStatsTable[[#This Row],[RepsRequested]]=DiscreteStatsTable[[#This Row],[RepsWithStatObserved]],1,0)</f>
        <v>1</v>
      </c>
    </row>
    <row r="285" spans="1:25">
      <c r="A285" t="s">
        <v>67</v>
      </c>
      <c r="B285" t="s">
        <v>70</v>
      </c>
      <c r="C285">
        <v>14</v>
      </c>
      <c r="D285" t="s">
        <v>86</v>
      </c>
      <c r="E285" t="s">
        <v>84</v>
      </c>
      <c r="F285" t="s">
        <v>85</v>
      </c>
      <c r="G285">
        <v>1.7764090463930999</v>
      </c>
      <c r="H285">
        <v>0.55766016204447399</v>
      </c>
      <c r="I285">
        <v>0</v>
      </c>
      <c r="J285">
        <v>6.8386653251987202</v>
      </c>
      <c r="K285">
        <v>690</v>
      </c>
      <c r="L285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30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1.6015522519765757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0.89357558090575995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3.2802088127851201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14.282258531030999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5" s="5">
        <f>IF((DiscreteStatsTable[[#This Row],[RepsRequested]]&gt;1),DiscreteStatsTable[[#This Row],[HalfWidth]],DiscreteStatsTable[[#This Row],[BatchMeansHalfWidth]])</f>
        <v>0.19051987014078101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30</v>
      </c>
      <c r="Y285" s="5">
        <f>IF(DiscreteStatsTable[[#This Row],[RepsRequested]]=DiscreteStatsTable[[#This Row],[RepsWithStatObserved]],1,0)</f>
        <v>1</v>
      </c>
    </row>
    <row r="286" spans="1:25">
      <c r="A286" t="s">
        <v>67</v>
      </c>
      <c r="B286" t="s">
        <v>70</v>
      </c>
      <c r="C286">
        <v>15</v>
      </c>
      <c r="D286" t="s">
        <v>86</v>
      </c>
      <c r="E286" t="s">
        <v>84</v>
      </c>
      <c r="F286" t="s">
        <v>85</v>
      </c>
      <c r="G286">
        <v>1.69796742811682</v>
      </c>
      <c r="H286">
        <v>0.50456423638360604</v>
      </c>
      <c r="I286">
        <v>0</v>
      </c>
      <c r="J286">
        <v>6.3900911014144697</v>
      </c>
      <c r="K286">
        <v>699</v>
      </c>
      <c r="L286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30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1.6015522519765757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0.89357558090575995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3.2802088127851201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14.282258531030999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6" s="5">
        <f>IF((DiscreteStatsTable[[#This Row],[RepsRequested]]&gt;1),DiscreteStatsTable[[#This Row],[HalfWidth]],DiscreteStatsTable[[#This Row],[BatchMeansHalfWidth]])</f>
        <v>0.19051987014078101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30</v>
      </c>
      <c r="Y286" s="5">
        <f>IF(DiscreteStatsTable[[#This Row],[RepsRequested]]=DiscreteStatsTable[[#This Row],[RepsWithStatObserved]],1,0)</f>
        <v>1</v>
      </c>
    </row>
    <row r="287" spans="1:25">
      <c r="A287" t="s">
        <v>67</v>
      </c>
      <c r="B287" t="s">
        <v>70</v>
      </c>
      <c r="C287">
        <v>16</v>
      </c>
      <c r="D287" t="s">
        <v>86</v>
      </c>
      <c r="E287" t="s">
        <v>84</v>
      </c>
      <c r="F287" t="s">
        <v>85</v>
      </c>
      <c r="G287">
        <v>2.1849662576712401</v>
      </c>
      <c r="H287">
        <v>3E+20</v>
      </c>
      <c r="I287">
        <v>0</v>
      </c>
      <c r="J287">
        <v>10.0568478135137</v>
      </c>
      <c r="K287">
        <v>705</v>
      </c>
      <c r="L287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30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1.6015522519765757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0.89357558090575995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3.2802088127851201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14.282258531030999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7" s="5">
        <f>IF((DiscreteStatsTable[[#This Row],[RepsRequested]]&gt;1),DiscreteStatsTable[[#This Row],[HalfWidth]],DiscreteStatsTable[[#This Row],[BatchMeansHalfWidth]])</f>
        <v>0.19051987014078101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30</v>
      </c>
      <c r="Y287" s="5">
        <f>IF(DiscreteStatsTable[[#This Row],[RepsRequested]]=DiscreteStatsTable[[#This Row],[RepsWithStatObserved]],1,0)</f>
        <v>1</v>
      </c>
    </row>
    <row r="288" spans="1:25">
      <c r="A288" t="s">
        <v>67</v>
      </c>
      <c r="B288" t="s">
        <v>70</v>
      </c>
      <c r="C288">
        <v>17</v>
      </c>
      <c r="D288" t="s">
        <v>86</v>
      </c>
      <c r="E288" t="s">
        <v>84</v>
      </c>
      <c r="F288" t="s">
        <v>85</v>
      </c>
      <c r="G288">
        <v>2.1145971301677702</v>
      </c>
      <c r="H288">
        <v>3E+20</v>
      </c>
      <c r="I288">
        <v>0</v>
      </c>
      <c r="J288">
        <v>9.1237861209264093</v>
      </c>
      <c r="K288">
        <v>676</v>
      </c>
      <c r="L288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30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1.6015522519765757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0.89357558090575995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3.2802088127851201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14.282258531030999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8" s="5">
        <f>IF((DiscreteStatsTable[[#This Row],[RepsRequested]]&gt;1),DiscreteStatsTable[[#This Row],[HalfWidth]],DiscreteStatsTable[[#This Row],[BatchMeansHalfWidth]])</f>
        <v>0.19051987014078101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30</v>
      </c>
      <c r="Y288" s="5">
        <f>IF(DiscreteStatsTable[[#This Row],[RepsRequested]]=DiscreteStatsTable[[#This Row],[RepsWithStatObserved]],1,0)</f>
        <v>1</v>
      </c>
    </row>
    <row r="289" spans="1:25">
      <c r="A289" t="s">
        <v>67</v>
      </c>
      <c r="B289" t="s">
        <v>70</v>
      </c>
      <c r="C289">
        <v>18</v>
      </c>
      <c r="D289" t="s">
        <v>86</v>
      </c>
      <c r="E289" t="s">
        <v>84</v>
      </c>
      <c r="F289" t="s">
        <v>85</v>
      </c>
      <c r="G289">
        <v>1.07890187047968</v>
      </c>
      <c r="H289">
        <v>3E+20</v>
      </c>
      <c r="I289">
        <v>0</v>
      </c>
      <c r="J289">
        <v>5.8387839987840398</v>
      </c>
      <c r="K289">
        <v>646</v>
      </c>
      <c r="L289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30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1.6015522519765757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0.89357558090575995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3.2802088127851201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14.282258531030999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89" s="5">
        <f>IF((DiscreteStatsTable[[#This Row],[RepsRequested]]&gt;1),DiscreteStatsTable[[#This Row],[HalfWidth]],DiscreteStatsTable[[#This Row],[BatchMeansHalfWidth]])</f>
        <v>0.19051987014078101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30</v>
      </c>
      <c r="Y289" s="5">
        <f>IF(DiscreteStatsTable[[#This Row],[RepsRequested]]=DiscreteStatsTable[[#This Row],[RepsWithStatObserved]],1,0)</f>
        <v>1</v>
      </c>
    </row>
    <row r="290" spans="1:25">
      <c r="A290" t="s">
        <v>67</v>
      </c>
      <c r="B290" t="s">
        <v>70</v>
      </c>
      <c r="C290">
        <v>19</v>
      </c>
      <c r="D290" t="s">
        <v>86</v>
      </c>
      <c r="E290" t="s">
        <v>84</v>
      </c>
      <c r="F290" t="s">
        <v>85</v>
      </c>
      <c r="G290">
        <v>1.39236165920571</v>
      </c>
      <c r="H290">
        <v>0.45174455872672797</v>
      </c>
      <c r="I290">
        <v>0</v>
      </c>
      <c r="J290">
        <v>7.2531399381915698</v>
      </c>
      <c r="K290">
        <v>690</v>
      </c>
      <c r="L290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30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1.6015522519765757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0.89357558090575995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3.2802088127851201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14.282258531030999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0" s="5">
        <f>IF((DiscreteStatsTable[[#This Row],[RepsRequested]]&gt;1),DiscreteStatsTable[[#This Row],[HalfWidth]],DiscreteStatsTable[[#This Row],[BatchMeansHalfWidth]])</f>
        <v>0.19051987014078101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30</v>
      </c>
      <c r="Y290" s="5">
        <f>IF(DiscreteStatsTable[[#This Row],[RepsRequested]]=DiscreteStatsTable[[#This Row],[RepsWithStatObserved]],1,0)</f>
        <v>1</v>
      </c>
    </row>
    <row r="291" spans="1:25">
      <c r="A291" t="s">
        <v>67</v>
      </c>
      <c r="B291" t="s">
        <v>70</v>
      </c>
      <c r="C291">
        <v>20</v>
      </c>
      <c r="D291" t="s">
        <v>86</v>
      </c>
      <c r="E291" t="s">
        <v>84</v>
      </c>
      <c r="F291" t="s">
        <v>85</v>
      </c>
      <c r="G291">
        <v>1.4272004157303799</v>
      </c>
      <c r="H291">
        <v>3E+20</v>
      </c>
      <c r="I291">
        <v>0</v>
      </c>
      <c r="J291">
        <v>6.7705191495925003</v>
      </c>
      <c r="K291">
        <v>639</v>
      </c>
      <c r="L291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30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1.6015522519765757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0.89357558090575995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3.2802088127851201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14.282258531030999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1" s="5">
        <f>IF((DiscreteStatsTable[[#This Row],[RepsRequested]]&gt;1),DiscreteStatsTable[[#This Row],[HalfWidth]],DiscreteStatsTable[[#This Row],[BatchMeansHalfWidth]])</f>
        <v>0.19051987014078101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30</v>
      </c>
      <c r="Y291" s="5">
        <f>IF(DiscreteStatsTable[[#This Row],[RepsRequested]]=DiscreteStatsTable[[#This Row],[RepsWithStatObserved]],1,0)</f>
        <v>1</v>
      </c>
    </row>
    <row r="292" spans="1:25">
      <c r="A292" t="s">
        <v>67</v>
      </c>
      <c r="B292" t="s">
        <v>70</v>
      </c>
      <c r="C292">
        <v>21</v>
      </c>
      <c r="D292" t="s">
        <v>86</v>
      </c>
      <c r="E292" t="s">
        <v>84</v>
      </c>
      <c r="F292" t="s">
        <v>85</v>
      </c>
      <c r="G292">
        <v>1.5501648804086801</v>
      </c>
      <c r="H292">
        <v>0.44502444686168202</v>
      </c>
      <c r="I292">
        <v>0</v>
      </c>
      <c r="J292">
        <v>6.4001163932224499</v>
      </c>
      <c r="K292">
        <v>678</v>
      </c>
      <c r="L292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30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1.6015522519765757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0.89357558090575995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3.2802088127851201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14.282258531030999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2" s="5">
        <f>IF((DiscreteStatsTable[[#This Row],[RepsRequested]]&gt;1),DiscreteStatsTable[[#This Row],[HalfWidth]],DiscreteStatsTable[[#This Row],[BatchMeansHalfWidth]])</f>
        <v>0.19051987014078101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30</v>
      </c>
      <c r="Y292" s="5">
        <f>IF(DiscreteStatsTable[[#This Row],[RepsRequested]]=DiscreteStatsTable[[#This Row],[RepsWithStatObserved]],1,0)</f>
        <v>1</v>
      </c>
    </row>
    <row r="293" spans="1:25">
      <c r="A293" t="s">
        <v>67</v>
      </c>
      <c r="B293" t="s">
        <v>70</v>
      </c>
      <c r="C293">
        <v>22</v>
      </c>
      <c r="D293" t="s">
        <v>86</v>
      </c>
      <c r="E293" t="s">
        <v>84</v>
      </c>
      <c r="F293" t="s">
        <v>85</v>
      </c>
      <c r="G293">
        <v>1.0929823726064001</v>
      </c>
      <c r="H293">
        <v>0.45114336780861902</v>
      </c>
      <c r="I293">
        <v>0</v>
      </c>
      <c r="J293">
        <v>6.3605266454428797</v>
      </c>
      <c r="K293">
        <v>663</v>
      </c>
      <c r="L293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30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1.6015522519765757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0.89357558090575995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3.2802088127851201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14.282258531030999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3" s="5">
        <f>IF((DiscreteStatsTable[[#This Row],[RepsRequested]]&gt;1),DiscreteStatsTable[[#This Row],[HalfWidth]],DiscreteStatsTable[[#This Row],[BatchMeansHalfWidth]])</f>
        <v>0.19051987014078101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30</v>
      </c>
      <c r="Y293" s="5">
        <f>IF(DiscreteStatsTable[[#This Row],[RepsRequested]]=DiscreteStatsTable[[#This Row],[RepsWithStatObserved]],1,0)</f>
        <v>1</v>
      </c>
    </row>
    <row r="294" spans="1:25">
      <c r="A294" t="s">
        <v>67</v>
      </c>
      <c r="B294" t="s">
        <v>70</v>
      </c>
      <c r="C294">
        <v>23</v>
      </c>
      <c r="D294" t="s">
        <v>86</v>
      </c>
      <c r="E294" t="s">
        <v>84</v>
      </c>
      <c r="F294" t="s">
        <v>85</v>
      </c>
      <c r="G294">
        <v>2.1204422779421699</v>
      </c>
      <c r="H294">
        <v>0.78907546258783801</v>
      </c>
      <c r="I294">
        <v>0</v>
      </c>
      <c r="J294">
        <v>11.202006929319399</v>
      </c>
      <c r="K294">
        <v>717</v>
      </c>
      <c r="L294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30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1.6015522519765757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0.89357558090575995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3.2802088127851201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14.282258531030999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4" s="5">
        <f>IF((DiscreteStatsTable[[#This Row],[RepsRequested]]&gt;1),DiscreteStatsTable[[#This Row],[HalfWidth]],DiscreteStatsTable[[#This Row],[BatchMeansHalfWidth]])</f>
        <v>0.19051987014078101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30</v>
      </c>
      <c r="Y294" s="5">
        <f>IF(DiscreteStatsTable[[#This Row],[RepsRequested]]=DiscreteStatsTable[[#This Row],[RepsWithStatObserved]],1,0)</f>
        <v>1</v>
      </c>
    </row>
    <row r="295" spans="1:25">
      <c r="A295" t="s">
        <v>67</v>
      </c>
      <c r="B295" t="s">
        <v>70</v>
      </c>
      <c r="C295">
        <v>24</v>
      </c>
      <c r="D295" t="s">
        <v>86</v>
      </c>
      <c r="E295" t="s">
        <v>84</v>
      </c>
      <c r="F295" t="s">
        <v>85</v>
      </c>
      <c r="G295">
        <v>1.5906906674889301</v>
      </c>
      <c r="H295">
        <v>0.80036425173724302</v>
      </c>
      <c r="I295">
        <v>0</v>
      </c>
      <c r="J295">
        <v>10.279081704916299</v>
      </c>
      <c r="K295">
        <v>660</v>
      </c>
      <c r="L295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30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1.6015522519765757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0.89357558090575995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3.2802088127851201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14.282258531030999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5" s="5">
        <f>IF((DiscreteStatsTable[[#This Row],[RepsRequested]]&gt;1),DiscreteStatsTable[[#This Row],[HalfWidth]],DiscreteStatsTable[[#This Row],[BatchMeansHalfWidth]])</f>
        <v>0.19051987014078101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30</v>
      </c>
      <c r="Y295" s="5">
        <f>IF(DiscreteStatsTable[[#This Row],[RepsRequested]]=DiscreteStatsTable[[#This Row],[RepsWithStatObserved]],1,0)</f>
        <v>1</v>
      </c>
    </row>
    <row r="296" spans="1:25">
      <c r="A296" t="s">
        <v>67</v>
      </c>
      <c r="B296" t="s">
        <v>70</v>
      </c>
      <c r="C296">
        <v>25</v>
      </c>
      <c r="D296" t="s">
        <v>86</v>
      </c>
      <c r="E296" t="s">
        <v>84</v>
      </c>
      <c r="F296" t="s">
        <v>85</v>
      </c>
      <c r="G296">
        <v>1.66159237869724</v>
      </c>
      <c r="H296">
        <v>0.56651848351022005</v>
      </c>
      <c r="I296">
        <v>0</v>
      </c>
      <c r="J296">
        <v>6.63055527496343</v>
      </c>
      <c r="K296">
        <v>699</v>
      </c>
      <c r="L296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30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1.6015522519765757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0.89357558090575995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3.2802088127851201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14.282258531030999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6" s="5">
        <f>IF((DiscreteStatsTable[[#This Row],[RepsRequested]]&gt;1),DiscreteStatsTable[[#This Row],[HalfWidth]],DiscreteStatsTable[[#This Row],[BatchMeansHalfWidth]])</f>
        <v>0.19051987014078101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30</v>
      </c>
      <c r="Y296" s="5">
        <f>IF(DiscreteStatsTable[[#This Row],[RepsRequested]]=DiscreteStatsTable[[#This Row],[RepsWithStatObserved]],1,0)</f>
        <v>1</v>
      </c>
    </row>
    <row r="297" spans="1:25">
      <c r="A297" t="s">
        <v>67</v>
      </c>
      <c r="B297" t="s">
        <v>70</v>
      </c>
      <c r="C297">
        <v>26</v>
      </c>
      <c r="D297" t="s">
        <v>86</v>
      </c>
      <c r="E297" t="s">
        <v>84</v>
      </c>
      <c r="F297" t="s">
        <v>85</v>
      </c>
      <c r="G297">
        <v>2.1425987257791901</v>
      </c>
      <c r="H297">
        <v>3E+20</v>
      </c>
      <c r="I297">
        <v>0</v>
      </c>
      <c r="J297">
        <v>8.2305930959783602</v>
      </c>
      <c r="K297">
        <v>703</v>
      </c>
      <c r="L297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30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1.6015522519765757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0.89357558090575995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3.2802088127851201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14.282258531030999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7" s="5">
        <f>IF((DiscreteStatsTable[[#This Row],[RepsRequested]]&gt;1),DiscreteStatsTable[[#This Row],[HalfWidth]],DiscreteStatsTable[[#This Row],[BatchMeansHalfWidth]])</f>
        <v>0.19051987014078101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30</v>
      </c>
      <c r="Y297" s="5">
        <f>IF(DiscreteStatsTable[[#This Row],[RepsRequested]]=DiscreteStatsTable[[#This Row],[RepsWithStatObserved]],1,0)</f>
        <v>1</v>
      </c>
    </row>
    <row r="298" spans="1:25">
      <c r="A298" t="s">
        <v>67</v>
      </c>
      <c r="B298" t="s">
        <v>70</v>
      </c>
      <c r="C298">
        <v>27</v>
      </c>
      <c r="D298" t="s">
        <v>86</v>
      </c>
      <c r="E298" t="s">
        <v>84</v>
      </c>
      <c r="F298" t="s">
        <v>85</v>
      </c>
      <c r="G298">
        <v>1.04405057526727</v>
      </c>
      <c r="H298">
        <v>3E+20</v>
      </c>
      <c r="I298">
        <v>0</v>
      </c>
      <c r="J298">
        <v>6.77737247691209</v>
      </c>
      <c r="K298">
        <v>632</v>
      </c>
      <c r="L298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30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1.6015522519765757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0.89357558090575995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3.2802088127851201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14.282258531030999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8" s="5">
        <f>IF((DiscreteStatsTable[[#This Row],[RepsRequested]]&gt;1),DiscreteStatsTable[[#This Row],[HalfWidth]],DiscreteStatsTable[[#This Row],[BatchMeansHalfWidth]])</f>
        <v>0.19051987014078101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30</v>
      </c>
      <c r="Y298" s="5">
        <f>IF(DiscreteStatsTable[[#This Row],[RepsRequested]]=DiscreteStatsTable[[#This Row],[RepsWithStatObserved]],1,0)</f>
        <v>1</v>
      </c>
    </row>
    <row r="299" spans="1:25">
      <c r="A299" t="s">
        <v>67</v>
      </c>
      <c r="B299" t="s">
        <v>70</v>
      </c>
      <c r="C299">
        <v>28</v>
      </c>
      <c r="D299" t="s">
        <v>86</v>
      </c>
      <c r="E299" t="s">
        <v>84</v>
      </c>
      <c r="F299" t="s">
        <v>85</v>
      </c>
      <c r="G299">
        <v>1.9334954986650099</v>
      </c>
      <c r="H299">
        <v>3E+20</v>
      </c>
      <c r="I299">
        <v>0</v>
      </c>
      <c r="J299">
        <v>10.062852858643</v>
      </c>
      <c r="K299">
        <v>683</v>
      </c>
      <c r="L299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30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1.6015522519765757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0.51022158284507146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0.89357558090575995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3.2802088127851201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14.282258531030999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299" s="5">
        <f>IF((DiscreteStatsTable[[#This Row],[RepsRequested]]&gt;1),DiscreteStatsTable[[#This Row],[HalfWidth]],DiscreteStatsTable[[#This Row],[BatchMeansHalfWidth]])</f>
        <v>0.19051987014078101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30</v>
      </c>
      <c r="Y299" s="5">
        <f>IF(DiscreteStatsTable[[#This Row],[RepsRequested]]=DiscreteStatsTable[[#This Row],[RepsWithStatObserved]],1,0)</f>
        <v>1</v>
      </c>
    </row>
    <row r="300" spans="1:25">
      <c r="A300" t="s">
        <v>67</v>
      </c>
      <c r="B300" t="s">
        <v>70</v>
      </c>
      <c r="C300">
        <v>29</v>
      </c>
      <c r="D300" t="s">
        <v>86</v>
      </c>
      <c r="E300" t="s">
        <v>84</v>
      </c>
      <c r="F300" t="s">
        <v>85</v>
      </c>
      <c r="G300">
        <v>3.2802088127851201</v>
      </c>
      <c r="H300">
        <v>3E+20</v>
      </c>
      <c r="I300">
        <v>0</v>
      </c>
      <c r="J300">
        <v>14.282258531030999</v>
      </c>
      <c r="K300">
        <v>729</v>
      </c>
      <c r="L300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30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1.6015522519765757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0.51022158284507146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0.89357558090575995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3.2802088127851201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14.282258531030999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0" s="5">
        <f>IF((DiscreteStatsTable[[#This Row],[RepsRequested]]&gt;1),DiscreteStatsTable[[#This Row],[HalfWidth]],DiscreteStatsTable[[#This Row],[BatchMeansHalfWidth]])</f>
        <v>0.19051987014078101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30</v>
      </c>
      <c r="Y300" s="5">
        <f>IF(DiscreteStatsTable[[#This Row],[RepsRequested]]=DiscreteStatsTable[[#This Row],[RepsWithStatObserved]],1,0)</f>
        <v>1</v>
      </c>
    </row>
    <row r="301" spans="1:25">
      <c r="A301" t="s">
        <v>67</v>
      </c>
      <c r="B301" t="s">
        <v>70</v>
      </c>
      <c r="C301">
        <v>30</v>
      </c>
      <c r="D301" t="s">
        <v>86</v>
      </c>
      <c r="E301" t="s">
        <v>84</v>
      </c>
      <c r="F301" t="s">
        <v>85</v>
      </c>
      <c r="G301">
        <v>0.92330674580516803</v>
      </c>
      <c r="H301">
        <v>0.18583289369209899</v>
      </c>
      <c r="I301">
        <v>0</v>
      </c>
      <c r="J301">
        <v>5.1731286502891596</v>
      </c>
      <c r="K301">
        <v>675</v>
      </c>
      <c r="L301" s="5" t="str">
        <f>DiscreteStatsTable[[#This Row],[ProjectName]]&amp;DiscreteStatsTable[[#This Row],[Name]]&amp;DiscreteStatsTable[[#This Row],[Type]]&amp;DiscreteStatsTable[[#This Row],[Source]]</f>
        <v>Unnamed ProjectTiempoEsperaExpressionUser Specified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30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1.6015522519765757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0.51022158284507146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0.19051987014078101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0.89357558090575995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3.2802088127851201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14.282258531030999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1" s="5">
        <f>IF((DiscreteStatsTable[[#This Row],[RepsRequested]]&gt;1),DiscreteStatsTable[[#This Row],[HalfWidth]],DiscreteStatsTable[[#This Row],[BatchMeansHalfWidth]])</f>
        <v>0.19051987014078101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30</v>
      </c>
      <c r="Y301" s="5">
        <f>IF(DiscreteStatsTable[[#This Row],[RepsRequested]]=DiscreteStatsTable[[#This Row],[RepsWithStatObserved]],1,0)</f>
        <v>1</v>
      </c>
    </row>
    <row r="302" spans="1:25">
      <c r="A302" t="s">
        <v>67</v>
      </c>
      <c r="B302" t="s">
        <v>70</v>
      </c>
      <c r="C302">
        <v>1</v>
      </c>
      <c r="D302" t="s">
        <v>87</v>
      </c>
      <c r="E302" t="s">
        <v>84</v>
      </c>
      <c r="F302" t="s">
        <v>85</v>
      </c>
      <c r="G302">
        <v>241.65455135788201</v>
      </c>
      <c r="H302">
        <v>3E+20</v>
      </c>
      <c r="I302">
        <v>9.5082724301605401E-2</v>
      </c>
      <c r="J302">
        <v>476.62103730658998</v>
      </c>
      <c r="K302">
        <v>703</v>
      </c>
      <c r="L302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30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238.04364708674956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4.3541719605327343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226.08366462807001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246.36608989585901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3.3492947103959301E-3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478.14848275515902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2" s="5">
        <f>IF((DiscreteStatsTable[[#This Row],[RepsRequested]]&gt;1),DiscreteStatsTable[[#This Row],[HalfWidth]],DiscreteStatsTable[[#This Row],[BatchMeansHalfWidth]])</f>
        <v>1.6258745305629705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30</v>
      </c>
      <c r="Y302" s="5">
        <f>IF(DiscreteStatsTable[[#This Row],[RepsRequested]]=DiscreteStatsTable[[#This Row],[RepsWithStatObserved]],1,0)</f>
        <v>1</v>
      </c>
    </row>
    <row r="303" spans="1:25">
      <c r="A303" t="s">
        <v>67</v>
      </c>
      <c r="B303" t="s">
        <v>70</v>
      </c>
      <c r="C303">
        <v>2</v>
      </c>
      <c r="D303" t="s">
        <v>87</v>
      </c>
      <c r="E303" t="s">
        <v>84</v>
      </c>
      <c r="F303" t="s">
        <v>85</v>
      </c>
      <c r="G303">
        <v>238.29150201265301</v>
      </c>
      <c r="H303">
        <v>3E+20</v>
      </c>
      <c r="I303">
        <v>5.7909985202267797E-2</v>
      </c>
      <c r="J303">
        <v>477.42035352419202</v>
      </c>
      <c r="K303">
        <v>679</v>
      </c>
      <c r="L303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30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238.04364708674956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4.3541719605327343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226.08366462807001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246.36608989585901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3.3492947103959301E-3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478.14848275515902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3" s="5">
        <f>IF((DiscreteStatsTable[[#This Row],[RepsRequested]]&gt;1),DiscreteStatsTable[[#This Row],[HalfWidth]],DiscreteStatsTable[[#This Row],[BatchMeansHalfWidth]])</f>
        <v>1.6258745305629705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30</v>
      </c>
      <c r="Y303" s="5">
        <f>IF(DiscreteStatsTable[[#This Row],[RepsRequested]]=DiscreteStatsTable[[#This Row],[RepsWithStatObserved]],1,0)</f>
        <v>1</v>
      </c>
    </row>
    <row r="304" spans="1:25">
      <c r="A304" t="s">
        <v>67</v>
      </c>
      <c r="B304" t="s">
        <v>70</v>
      </c>
      <c r="C304">
        <v>3</v>
      </c>
      <c r="D304" t="s">
        <v>87</v>
      </c>
      <c r="E304" t="s">
        <v>84</v>
      </c>
      <c r="F304" t="s">
        <v>85</v>
      </c>
      <c r="G304">
        <v>234.96813328910201</v>
      </c>
      <c r="H304">
        <v>3E+20</v>
      </c>
      <c r="I304">
        <v>0.21265227887422999</v>
      </c>
      <c r="J304">
        <v>477.58286325080002</v>
      </c>
      <c r="K304">
        <v>659</v>
      </c>
      <c r="L304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30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238.04364708674956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4.3541719605327343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226.08366462807001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246.36608989585901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3.3492947103959301E-3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478.14848275515902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4" s="5">
        <f>IF((DiscreteStatsTable[[#This Row],[RepsRequested]]&gt;1),DiscreteStatsTable[[#This Row],[HalfWidth]],DiscreteStatsTable[[#This Row],[BatchMeansHalfWidth]])</f>
        <v>1.6258745305629705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30</v>
      </c>
      <c r="Y304" s="5">
        <f>IF(DiscreteStatsTable[[#This Row],[RepsRequested]]=DiscreteStatsTable[[#This Row],[RepsWithStatObserved]],1,0)</f>
        <v>1</v>
      </c>
    </row>
    <row r="305" spans="1:25">
      <c r="A305" t="s">
        <v>67</v>
      </c>
      <c r="B305" t="s">
        <v>70</v>
      </c>
      <c r="C305">
        <v>4</v>
      </c>
      <c r="D305" t="s">
        <v>87</v>
      </c>
      <c r="E305" t="s">
        <v>84</v>
      </c>
      <c r="F305" t="s">
        <v>85</v>
      </c>
      <c r="G305">
        <v>235.80335930731201</v>
      </c>
      <c r="H305">
        <v>3E+20</v>
      </c>
      <c r="I305">
        <v>0.489714739477359</v>
      </c>
      <c r="J305">
        <v>475.522719333233</v>
      </c>
      <c r="K305">
        <v>696</v>
      </c>
      <c r="L305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30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238.04364708674956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4.3541719605327343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226.08366462807001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246.36608989585901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3.3492947103959301E-3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478.14848275515902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5" s="5">
        <f>IF((DiscreteStatsTable[[#This Row],[RepsRequested]]&gt;1),DiscreteStatsTable[[#This Row],[HalfWidth]],DiscreteStatsTable[[#This Row],[BatchMeansHalfWidth]])</f>
        <v>1.6258745305629705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30</v>
      </c>
      <c r="Y305" s="5">
        <f>IF(DiscreteStatsTable[[#This Row],[RepsRequested]]=DiscreteStatsTable[[#This Row],[RepsWithStatObserved]],1,0)</f>
        <v>1</v>
      </c>
    </row>
    <row r="306" spans="1:25">
      <c r="A306" t="s">
        <v>67</v>
      </c>
      <c r="B306" t="s">
        <v>70</v>
      </c>
      <c r="C306">
        <v>5</v>
      </c>
      <c r="D306" t="s">
        <v>87</v>
      </c>
      <c r="E306" t="s">
        <v>84</v>
      </c>
      <c r="F306" t="s">
        <v>85</v>
      </c>
      <c r="G306">
        <v>242.19360080537899</v>
      </c>
      <c r="H306">
        <v>3E+20</v>
      </c>
      <c r="I306">
        <v>1.9953147652557801</v>
      </c>
      <c r="J306">
        <v>475.69455397689899</v>
      </c>
      <c r="K306">
        <v>701</v>
      </c>
      <c r="L306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30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238.04364708674956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4.3541719605327343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226.08366462807001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246.36608989585901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3.3492947103959301E-3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478.14848275515902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6" s="5">
        <f>IF((DiscreteStatsTable[[#This Row],[RepsRequested]]&gt;1),DiscreteStatsTable[[#This Row],[HalfWidth]],DiscreteStatsTable[[#This Row],[BatchMeansHalfWidth]])</f>
        <v>1.6258745305629705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30</v>
      </c>
      <c r="Y306" s="5">
        <f>IF(DiscreteStatsTable[[#This Row],[RepsRequested]]=DiscreteStatsTable[[#This Row],[RepsWithStatObserved]],1,0)</f>
        <v>1</v>
      </c>
    </row>
    <row r="307" spans="1:25">
      <c r="A307" t="s">
        <v>67</v>
      </c>
      <c r="B307" t="s">
        <v>70</v>
      </c>
      <c r="C307">
        <v>6</v>
      </c>
      <c r="D307" t="s">
        <v>87</v>
      </c>
      <c r="E307" t="s">
        <v>84</v>
      </c>
      <c r="F307" t="s">
        <v>85</v>
      </c>
      <c r="G307">
        <v>232.71491730012099</v>
      </c>
      <c r="H307">
        <v>3E+20</v>
      </c>
      <c r="I307">
        <v>0.77630874764876301</v>
      </c>
      <c r="J307">
        <v>474.67515721877299</v>
      </c>
      <c r="K307">
        <v>658</v>
      </c>
      <c r="L307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30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238.04364708674956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4.3541719605327343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226.08366462807001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246.36608989585901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3.3492947103959301E-3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478.14848275515902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7" s="5">
        <f>IF((DiscreteStatsTable[[#This Row],[RepsRequested]]&gt;1),DiscreteStatsTable[[#This Row],[HalfWidth]],DiscreteStatsTable[[#This Row],[BatchMeansHalfWidth]])</f>
        <v>1.6258745305629705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30</v>
      </c>
      <c r="Y307" s="5">
        <f>IF(DiscreteStatsTable[[#This Row],[RepsRequested]]=DiscreteStatsTable[[#This Row],[RepsWithStatObserved]],1,0)</f>
        <v>1</v>
      </c>
    </row>
    <row r="308" spans="1:25">
      <c r="A308" t="s">
        <v>67</v>
      </c>
      <c r="B308" t="s">
        <v>70</v>
      </c>
      <c r="C308">
        <v>7</v>
      </c>
      <c r="D308" t="s">
        <v>87</v>
      </c>
      <c r="E308" t="s">
        <v>84</v>
      </c>
      <c r="F308" t="s">
        <v>85</v>
      </c>
      <c r="G308">
        <v>233.45971916672099</v>
      </c>
      <c r="H308">
        <v>3E+20</v>
      </c>
      <c r="I308">
        <v>0.48213464156505098</v>
      </c>
      <c r="J308">
        <v>475.188056860004</v>
      </c>
      <c r="K308">
        <v>707</v>
      </c>
      <c r="L308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30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238.04364708674956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4.3541719605327343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226.08366462807001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246.36608989585901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3.3492947103959301E-3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478.14848275515902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8" s="5">
        <f>IF((DiscreteStatsTable[[#This Row],[RepsRequested]]&gt;1),DiscreteStatsTable[[#This Row],[HalfWidth]],DiscreteStatsTable[[#This Row],[BatchMeansHalfWidth]])</f>
        <v>1.6258745305629705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30</v>
      </c>
      <c r="Y308" s="5">
        <f>IF(DiscreteStatsTable[[#This Row],[RepsRequested]]=DiscreteStatsTable[[#This Row],[RepsWithStatObserved]],1,0)</f>
        <v>1</v>
      </c>
    </row>
    <row r="309" spans="1:25">
      <c r="A309" t="s">
        <v>67</v>
      </c>
      <c r="B309" t="s">
        <v>70</v>
      </c>
      <c r="C309">
        <v>8</v>
      </c>
      <c r="D309" t="s">
        <v>87</v>
      </c>
      <c r="E309" t="s">
        <v>84</v>
      </c>
      <c r="F309" t="s">
        <v>85</v>
      </c>
      <c r="G309">
        <v>244.89615894264099</v>
      </c>
      <c r="H309">
        <v>3E+20</v>
      </c>
      <c r="I309">
        <v>0.37909661432095898</v>
      </c>
      <c r="J309">
        <v>475.21427673412899</v>
      </c>
      <c r="K309">
        <v>662</v>
      </c>
      <c r="L309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30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238.04364708674956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4.3541719605327343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226.08366462807001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246.36608989585901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3.3492947103959301E-3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478.14848275515902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09" s="5">
        <f>IF((DiscreteStatsTable[[#This Row],[RepsRequested]]&gt;1),DiscreteStatsTable[[#This Row],[HalfWidth]],DiscreteStatsTable[[#This Row],[BatchMeansHalfWidth]])</f>
        <v>1.6258745305629705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30</v>
      </c>
      <c r="Y309" s="5">
        <f>IF(DiscreteStatsTable[[#This Row],[RepsRequested]]=DiscreteStatsTable[[#This Row],[RepsWithStatObserved]],1,0)</f>
        <v>1</v>
      </c>
    </row>
    <row r="310" spans="1:25">
      <c r="A310" t="s">
        <v>67</v>
      </c>
      <c r="B310" t="s">
        <v>70</v>
      </c>
      <c r="C310">
        <v>9</v>
      </c>
      <c r="D310" t="s">
        <v>87</v>
      </c>
      <c r="E310" t="s">
        <v>84</v>
      </c>
      <c r="F310" t="s">
        <v>85</v>
      </c>
      <c r="G310">
        <v>235.27274769921399</v>
      </c>
      <c r="H310">
        <v>3E+20</v>
      </c>
      <c r="I310">
        <v>0.87464647594710099</v>
      </c>
      <c r="J310">
        <v>478.03596015454099</v>
      </c>
      <c r="K310">
        <v>649</v>
      </c>
      <c r="L310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30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238.04364708674956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226.08366462807001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246.36608989585901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3.3492947103959301E-3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478.14848275515902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0" s="5">
        <f>IF((DiscreteStatsTable[[#This Row],[RepsRequested]]&gt;1),DiscreteStatsTable[[#This Row],[HalfWidth]],DiscreteStatsTable[[#This Row],[BatchMeansHalfWidth]])</f>
        <v>1.6258745305629705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30</v>
      </c>
      <c r="Y310" s="5">
        <f>IF(DiscreteStatsTable[[#This Row],[RepsRequested]]=DiscreteStatsTable[[#This Row],[RepsWithStatObserved]],1,0)</f>
        <v>1</v>
      </c>
    </row>
    <row r="311" spans="1:25">
      <c r="A311" t="s">
        <v>67</v>
      </c>
      <c r="B311" t="s">
        <v>70</v>
      </c>
      <c r="C311">
        <v>10</v>
      </c>
      <c r="D311" t="s">
        <v>87</v>
      </c>
      <c r="E311" t="s">
        <v>84</v>
      </c>
      <c r="F311" t="s">
        <v>85</v>
      </c>
      <c r="G311">
        <v>236.384699787199</v>
      </c>
      <c r="H311">
        <v>3E+20</v>
      </c>
      <c r="I311">
        <v>0.21620306842418499</v>
      </c>
      <c r="J311">
        <v>477.11278457630499</v>
      </c>
      <c r="K311">
        <v>670</v>
      </c>
      <c r="L311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30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238.04364708674956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226.08366462807001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246.36608989585901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3.3492947103959301E-3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478.14848275515902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1" s="5">
        <f>IF((DiscreteStatsTable[[#This Row],[RepsRequested]]&gt;1),DiscreteStatsTable[[#This Row],[HalfWidth]],DiscreteStatsTable[[#This Row],[BatchMeansHalfWidth]])</f>
        <v>1.6258745305629705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30</v>
      </c>
      <c r="Y311" s="5">
        <f>IF(DiscreteStatsTable[[#This Row],[RepsRequested]]=DiscreteStatsTable[[#This Row],[RepsWithStatObserved]],1,0)</f>
        <v>1</v>
      </c>
    </row>
    <row r="312" spans="1:25">
      <c r="A312" t="s">
        <v>67</v>
      </c>
      <c r="B312" t="s">
        <v>70</v>
      </c>
      <c r="C312">
        <v>11</v>
      </c>
      <c r="D312" t="s">
        <v>87</v>
      </c>
      <c r="E312" t="s">
        <v>84</v>
      </c>
      <c r="F312" t="s">
        <v>85</v>
      </c>
      <c r="G312">
        <v>237.19102434391601</v>
      </c>
      <c r="H312">
        <v>3E+20</v>
      </c>
      <c r="I312">
        <v>3.3492947103959301E-3</v>
      </c>
      <c r="J312">
        <v>477.34483699030199</v>
      </c>
      <c r="K312">
        <v>668</v>
      </c>
      <c r="L312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30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238.04364708674956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226.08366462807001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246.36608989585901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3.3492947103959301E-3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478.14848275515902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2" s="5">
        <f>IF((DiscreteStatsTable[[#This Row],[RepsRequested]]&gt;1),DiscreteStatsTable[[#This Row],[HalfWidth]],DiscreteStatsTable[[#This Row],[BatchMeansHalfWidth]])</f>
        <v>1.6258745305629705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30</v>
      </c>
      <c r="Y312" s="5">
        <f>IF(DiscreteStatsTable[[#This Row],[RepsRequested]]=DiscreteStatsTable[[#This Row],[RepsWithStatObserved]],1,0)</f>
        <v>1</v>
      </c>
    </row>
    <row r="313" spans="1:25">
      <c r="A313" t="s">
        <v>67</v>
      </c>
      <c r="B313" t="s">
        <v>70</v>
      </c>
      <c r="C313">
        <v>12</v>
      </c>
      <c r="D313" t="s">
        <v>87</v>
      </c>
      <c r="E313" t="s">
        <v>84</v>
      </c>
      <c r="F313" t="s">
        <v>85</v>
      </c>
      <c r="G313">
        <v>237.84421143189601</v>
      </c>
      <c r="H313">
        <v>3E+20</v>
      </c>
      <c r="I313">
        <v>0.61917905125233696</v>
      </c>
      <c r="J313">
        <v>476.263266504716</v>
      </c>
      <c r="K313">
        <v>695</v>
      </c>
      <c r="L313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30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238.04364708674956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226.08366462807001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246.36608989585901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3.3492947103959301E-3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478.14848275515902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3" s="5">
        <f>IF((DiscreteStatsTable[[#This Row],[RepsRequested]]&gt;1),DiscreteStatsTable[[#This Row],[HalfWidth]],DiscreteStatsTable[[#This Row],[BatchMeansHalfWidth]])</f>
        <v>1.6258745305629705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30</v>
      </c>
      <c r="Y313" s="5">
        <f>IF(DiscreteStatsTable[[#This Row],[RepsRequested]]=DiscreteStatsTable[[#This Row],[RepsWithStatObserved]],1,0)</f>
        <v>1</v>
      </c>
    </row>
    <row r="314" spans="1:25">
      <c r="A314" t="s">
        <v>67</v>
      </c>
      <c r="B314" t="s">
        <v>70</v>
      </c>
      <c r="C314">
        <v>13</v>
      </c>
      <c r="D314" t="s">
        <v>87</v>
      </c>
      <c r="E314" t="s">
        <v>84</v>
      </c>
      <c r="F314" t="s">
        <v>85</v>
      </c>
      <c r="G314">
        <v>243.19282615072899</v>
      </c>
      <c r="H314">
        <v>3E+20</v>
      </c>
      <c r="I314">
        <v>9.8717220752425394E-2</v>
      </c>
      <c r="J314">
        <v>475.44296320997898</v>
      </c>
      <c r="K314">
        <v>646</v>
      </c>
      <c r="L314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30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238.04364708674956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226.08366462807001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246.36608989585901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3.3492947103959301E-3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478.14848275515902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4" s="5">
        <f>IF((DiscreteStatsTable[[#This Row],[RepsRequested]]&gt;1),DiscreteStatsTable[[#This Row],[HalfWidth]],DiscreteStatsTable[[#This Row],[BatchMeansHalfWidth]])</f>
        <v>1.6258745305629705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30</v>
      </c>
      <c r="Y314" s="5">
        <f>IF(DiscreteStatsTable[[#This Row],[RepsRequested]]=DiscreteStatsTable[[#This Row],[RepsWithStatObserved]],1,0)</f>
        <v>1</v>
      </c>
    </row>
    <row r="315" spans="1:25">
      <c r="A315" t="s">
        <v>67</v>
      </c>
      <c r="B315" t="s">
        <v>70</v>
      </c>
      <c r="C315">
        <v>14</v>
      </c>
      <c r="D315" t="s">
        <v>87</v>
      </c>
      <c r="E315" t="s">
        <v>84</v>
      </c>
      <c r="F315" t="s">
        <v>85</v>
      </c>
      <c r="G315">
        <v>239.24662484705101</v>
      </c>
      <c r="H315">
        <v>3E+20</v>
      </c>
      <c r="I315">
        <v>0.68426961283284504</v>
      </c>
      <c r="J315">
        <v>473.93413480663099</v>
      </c>
      <c r="K315">
        <v>690</v>
      </c>
      <c r="L315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30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238.04364708674956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226.08366462807001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246.36608989585901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3.3492947103959301E-3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478.14848275515902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5" s="5">
        <f>IF((DiscreteStatsTable[[#This Row],[RepsRequested]]&gt;1),DiscreteStatsTable[[#This Row],[HalfWidth]],DiscreteStatsTable[[#This Row],[BatchMeansHalfWidth]])</f>
        <v>1.6258745305629705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30</v>
      </c>
      <c r="Y315" s="5">
        <f>IF(DiscreteStatsTable[[#This Row],[RepsRequested]]=DiscreteStatsTable[[#This Row],[RepsWithStatObserved]],1,0)</f>
        <v>1</v>
      </c>
    </row>
    <row r="316" spans="1:25">
      <c r="A316" t="s">
        <v>67</v>
      </c>
      <c r="B316" t="s">
        <v>70</v>
      </c>
      <c r="C316">
        <v>15</v>
      </c>
      <c r="D316" t="s">
        <v>87</v>
      </c>
      <c r="E316" t="s">
        <v>84</v>
      </c>
      <c r="F316" t="s">
        <v>85</v>
      </c>
      <c r="G316">
        <v>239.46560763297001</v>
      </c>
      <c r="H316">
        <v>3E+20</v>
      </c>
      <c r="I316">
        <v>0.37216472210794099</v>
      </c>
      <c r="J316">
        <v>475.411207221918</v>
      </c>
      <c r="K316">
        <v>699</v>
      </c>
      <c r="L316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30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238.04364708674956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226.08366462807001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246.36608989585901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3.3492947103959301E-3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478.14848275515902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6" s="5">
        <f>IF((DiscreteStatsTable[[#This Row],[RepsRequested]]&gt;1),DiscreteStatsTable[[#This Row],[HalfWidth]],DiscreteStatsTable[[#This Row],[BatchMeansHalfWidth]])</f>
        <v>1.6258745305629705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30</v>
      </c>
      <c r="Y316" s="5">
        <f>IF(DiscreteStatsTable[[#This Row],[RepsRequested]]=DiscreteStatsTable[[#This Row],[RepsWithStatObserved]],1,0)</f>
        <v>1</v>
      </c>
    </row>
    <row r="317" spans="1:25">
      <c r="A317" t="s">
        <v>67</v>
      </c>
      <c r="B317" t="s">
        <v>70</v>
      </c>
      <c r="C317">
        <v>16</v>
      </c>
      <c r="D317" t="s">
        <v>87</v>
      </c>
      <c r="E317" t="s">
        <v>84</v>
      </c>
      <c r="F317" t="s">
        <v>85</v>
      </c>
      <c r="G317">
        <v>238.55687077774201</v>
      </c>
      <c r="H317">
        <v>3E+20</v>
      </c>
      <c r="I317">
        <v>0.98922823214083599</v>
      </c>
      <c r="J317">
        <v>477.57469504449398</v>
      </c>
      <c r="K317">
        <v>705</v>
      </c>
      <c r="L317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30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238.04364708674956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226.08366462807001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246.36608989585901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3.3492947103959301E-3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478.14848275515902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7" s="5">
        <f>IF((DiscreteStatsTable[[#This Row],[RepsRequested]]&gt;1),DiscreteStatsTable[[#This Row],[HalfWidth]],DiscreteStatsTable[[#This Row],[BatchMeansHalfWidth]])</f>
        <v>1.6258745305629705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30</v>
      </c>
      <c r="Y317" s="5">
        <f>IF(DiscreteStatsTable[[#This Row],[RepsRequested]]=DiscreteStatsTable[[#This Row],[RepsWithStatObserved]],1,0)</f>
        <v>1</v>
      </c>
    </row>
    <row r="318" spans="1:25">
      <c r="A318" t="s">
        <v>67</v>
      </c>
      <c r="B318" t="s">
        <v>70</v>
      </c>
      <c r="C318">
        <v>17</v>
      </c>
      <c r="D318" t="s">
        <v>87</v>
      </c>
      <c r="E318" t="s">
        <v>84</v>
      </c>
      <c r="F318" t="s">
        <v>85</v>
      </c>
      <c r="G318">
        <v>226.08366462807001</v>
      </c>
      <c r="H318">
        <v>3E+20</v>
      </c>
      <c r="I318">
        <v>0.42042752667778799</v>
      </c>
      <c r="J318">
        <v>474.18140215470498</v>
      </c>
      <c r="K318">
        <v>676</v>
      </c>
      <c r="L318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30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238.04364708674956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226.08366462807001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246.36608989585901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3.3492947103959301E-3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478.14848275515902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8" s="5">
        <f>IF((DiscreteStatsTable[[#This Row],[RepsRequested]]&gt;1),DiscreteStatsTable[[#This Row],[HalfWidth]],DiscreteStatsTable[[#This Row],[BatchMeansHalfWidth]])</f>
        <v>1.6258745305629705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30</v>
      </c>
      <c r="Y318" s="5">
        <f>IF(DiscreteStatsTable[[#This Row],[RepsRequested]]=DiscreteStatsTable[[#This Row],[RepsWithStatObserved]],1,0)</f>
        <v>1</v>
      </c>
    </row>
    <row r="319" spans="1:25">
      <c r="A319" t="s">
        <v>67</v>
      </c>
      <c r="B319" t="s">
        <v>70</v>
      </c>
      <c r="C319">
        <v>18</v>
      </c>
      <c r="D319" t="s">
        <v>87</v>
      </c>
      <c r="E319" t="s">
        <v>84</v>
      </c>
      <c r="F319" t="s">
        <v>85</v>
      </c>
      <c r="G319">
        <v>238.64339288728701</v>
      </c>
      <c r="H319">
        <v>3E+20</v>
      </c>
      <c r="I319">
        <v>0.23036473427131901</v>
      </c>
      <c r="J319">
        <v>472.85367498302202</v>
      </c>
      <c r="K319">
        <v>646</v>
      </c>
      <c r="L319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30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238.04364708674956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4.3541719605327343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226.08366462807001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246.36608989585901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3.3492947103959301E-3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478.14848275515902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19" s="5">
        <f>IF((DiscreteStatsTable[[#This Row],[RepsRequested]]&gt;1),DiscreteStatsTable[[#This Row],[HalfWidth]],DiscreteStatsTable[[#This Row],[BatchMeansHalfWidth]])</f>
        <v>1.6258745305629705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30</v>
      </c>
      <c r="Y319" s="5">
        <f>IF(DiscreteStatsTable[[#This Row],[RepsRequested]]=DiscreteStatsTable[[#This Row],[RepsWithStatObserved]],1,0)</f>
        <v>1</v>
      </c>
    </row>
    <row r="320" spans="1:25">
      <c r="A320" t="s">
        <v>67</v>
      </c>
      <c r="B320" t="s">
        <v>70</v>
      </c>
      <c r="C320">
        <v>19</v>
      </c>
      <c r="D320" t="s">
        <v>87</v>
      </c>
      <c r="E320" t="s">
        <v>84</v>
      </c>
      <c r="F320" t="s">
        <v>85</v>
      </c>
      <c r="G320">
        <v>239.65934150702299</v>
      </c>
      <c r="H320">
        <v>3E+20</v>
      </c>
      <c r="I320">
        <v>5.9500166529787998E-2</v>
      </c>
      <c r="J320">
        <v>476.383620330886</v>
      </c>
      <c r="K320">
        <v>690</v>
      </c>
      <c r="L320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30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238.04364708674956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226.08366462807001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246.36608989585901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3.3492947103959301E-3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478.14848275515902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0" s="5">
        <f>IF((DiscreteStatsTable[[#This Row],[RepsRequested]]&gt;1),DiscreteStatsTable[[#This Row],[HalfWidth]],DiscreteStatsTable[[#This Row],[BatchMeansHalfWidth]])</f>
        <v>1.6258745305629705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30</v>
      </c>
      <c r="Y320" s="5">
        <f>IF(DiscreteStatsTable[[#This Row],[RepsRequested]]=DiscreteStatsTable[[#This Row],[RepsWithStatObserved]],1,0)</f>
        <v>1</v>
      </c>
    </row>
    <row r="321" spans="1:25">
      <c r="A321" t="s">
        <v>67</v>
      </c>
      <c r="B321" t="s">
        <v>70</v>
      </c>
      <c r="C321">
        <v>20</v>
      </c>
      <c r="D321" t="s">
        <v>87</v>
      </c>
      <c r="E321" t="s">
        <v>84</v>
      </c>
      <c r="F321" t="s">
        <v>85</v>
      </c>
      <c r="G321">
        <v>231.259413721774</v>
      </c>
      <c r="H321">
        <v>3E+20</v>
      </c>
      <c r="I321">
        <v>0.42713964664651599</v>
      </c>
      <c r="J321">
        <v>473.795586454881</v>
      </c>
      <c r="K321">
        <v>639</v>
      </c>
      <c r="L321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30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238.04364708674956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226.08366462807001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246.36608989585901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3.3492947103959301E-3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478.14848275515902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1" s="5">
        <f>IF((DiscreteStatsTable[[#This Row],[RepsRequested]]&gt;1),DiscreteStatsTable[[#This Row],[HalfWidth]],DiscreteStatsTable[[#This Row],[BatchMeansHalfWidth]])</f>
        <v>1.6258745305629705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30</v>
      </c>
      <c r="Y321" s="5">
        <f>IF(DiscreteStatsTable[[#This Row],[RepsRequested]]=DiscreteStatsTable[[#This Row],[RepsWithStatObserved]],1,0)</f>
        <v>1</v>
      </c>
    </row>
    <row r="322" spans="1:25">
      <c r="A322" t="s">
        <v>67</v>
      </c>
      <c r="B322" t="s">
        <v>70</v>
      </c>
      <c r="C322">
        <v>21</v>
      </c>
      <c r="D322" t="s">
        <v>87</v>
      </c>
      <c r="E322" t="s">
        <v>84</v>
      </c>
      <c r="F322" t="s">
        <v>85</v>
      </c>
      <c r="G322">
        <v>233.78576768403201</v>
      </c>
      <c r="H322">
        <v>3E+20</v>
      </c>
      <c r="I322">
        <v>0.57694845647409398</v>
      </c>
      <c r="J322">
        <v>478.14848275515902</v>
      </c>
      <c r="K322">
        <v>678</v>
      </c>
      <c r="L322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30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238.04364708674956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226.08366462807001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246.36608989585901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3.3492947103959301E-3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478.14848275515902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2" s="5">
        <f>IF((DiscreteStatsTable[[#This Row],[RepsRequested]]&gt;1),DiscreteStatsTable[[#This Row],[HalfWidth]],DiscreteStatsTable[[#This Row],[BatchMeansHalfWidth]])</f>
        <v>1.6258745305629705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30</v>
      </c>
      <c r="Y322" s="5">
        <f>IF(DiscreteStatsTable[[#This Row],[RepsRequested]]=DiscreteStatsTable[[#This Row],[RepsWithStatObserved]],1,0)</f>
        <v>1</v>
      </c>
    </row>
    <row r="323" spans="1:25">
      <c r="A323" t="s">
        <v>67</v>
      </c>
      <c r="B323" t="s">
        <v>70</v>
      </c>
      <c r="C323">
        <v>22</v>
      </c>
      <c r="D323" t="s">
        <v>87</v>
      </c>
      <c r="E323" t="s">
        <v>84</v>
      </c>
      <c r="F323" t="s">
        <v>85</v>
      </c>
      <c r="G323">
        <v>234.72286188445199</v>
      </c>
      <c r="H323">
        <v>3E+20</v>
      </c>
      <c r="I323">
        <v>0.72867567899529695</v>
      </c>
      <c r="J323">
        <v>476.85411641461201</v>
      </c>
      <c r="K323">
        <v>663</v>
      </c>
      <c r="L323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30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238.04364708674956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226.08366462807001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246.36608989585901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3.3492947103959301E-3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478.14848275515902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3" s="5">
        <f>IF((DiscreteStatsTable[[#This Row],[RepsRequested]]&gt;1),DiscreteStatsTable[[#This Row],[HalfWidth]],DiscreteStatsTable[[#This Row],[BatchMeansHalfWidth]])</f>
        <v>1.6258745305629705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30</v>
      </c>
      <c r="Y323" s="5">
        <f>IF(DiscreteStatsTable[[#This Row],[RepsRequested]]=DiscreteStatsTable[[#This Row],[RepsWithStatObserved]],1,0)</f>
        <v>1</v>
      </c>
    </row>
    <row r="324" spans="1:25">
      <c r="A324" t="s">
        <v>67</v>
      </c>
      <c r="B324" t="s">
        <v>70</v>
      </c>
      <c r="C324">
        <v>23</v>
      </c>
      <c r="D324" t="s">
        <v>87</v>
      </c>
      <c r="E324" t="s">
        <v>84</v>
      </c>
      <c r="F324" t="s">
        <v>85</v>
      </c>
      <c r="G324">
        <v>236.925783837745</v>
      </c>
      <c r="H324">
        <v>3E+20</v>
      </c>
      <c r="I324">
        <v>1.5949020079013501</v>
      </c>
      <c r="J324">
        <v>477.24456752637701</v>
      </c>
      <c r="K324">
        <v>717</v>
      </c>
      <c r="L324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30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238.04364708674956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226.08366462807001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246.36608989585901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3.3492947103959301E-3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478.14848275515902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4" s="5">
        <f>IF((DiscreteStatsTable[[#This Row],[RepsRequested]]&gt;1),DiscreteStatsTable[[#This Row],[HalfWidth]],DiscreteStatsTable[[#This Row],[BatchMeansHalfWidth]])</f>
        <v>1.6258745305629705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30</v>
      </c>
      <c r="Y324" s="5">
        <f>IF(DiscreteStatsTable[[#This Row],[RepsRequested]]=DiscreteStatsTable[[#This Row],[RepsWithStatObserved]],1,0)</f>
        <v>1</v>
      </c>
    </row>
    <row r="325" spans="1:25">
      <c r="A325" t="s">
        <v>67</v>
      </c>
      <c r="B325" t="s">
        <v>70</v>
      </c>
      <c r="C325">
        <v>24</v>
      </c>
      <c r="D325" t="s">
        <v>87</v>
      </c>
      <c r="E325" t="s">
        <v>84</v>
      </c>
      <c r="F325" t="s">
        <v>85</v>
      </c>
      <c r="G325">
        <v>242.553686442691</v>
      </c>
      <c r="H325">
        <v>3E+20</v>
      </c>
      <c r="I325">
        <v>0.87882162244244999</v>
      </c>
      <c r="J325">
        <v>477.57034558582899</v>
      </c>
      <c r="K325">
        <v>660</v>
      </c>
      <c r="L325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30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238.04364708674956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226.08366462807001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246.36608989585901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3.3492947103959301E-3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478.14848275515902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5" s="5">
        <f>IF((DiscreteStatsTable[[#This Row],[RepsRequested]]&gt;1),DiscreteStatsTable[[#This Row],[HalfWidth]],DiscreteStatsTable[[#This Row],[BatchMeansHalfWidth]])</f>
        <v>1.6258745305629705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30</v>
      </c>
      <c r="Y325" s="5">
        <f>IF(DiscreteStatsTable[[#This Row],[RepsRequested]]=DiscreteStatsTable[[#This Row],[RepsWithStatObserved]],1,0)</f>
        <v>1</v>
      </c>
    </row>
    <row r="326" spans="1:25">
      <c r="A326" t="s">
        <v>67</v>
      </c>
      <c r="B326" t="s">
        <v>70</v>
      </c>
      <c r="C326">
        <v>25</v>
      </c>
      <c r="D326" t="s">
        <v>87</v>
      </c>
      <c r="E326" t="s">
        <v>84</v>
      </c>
      <c r="F326" t="s">
        <v>85</v>
      </c>
      <c r="G326">
        <v>244.04449770778601</v>
      </c>
      <c r="H326">
        <v>3E+20</v>
      </c>
      <c r="I326">
        <v>0.497389465268402</v>
      </c>
      <c r="J326">
        <v>476.79259330163899</v>
      </c>
      <c r="K326">
        <v>699</v>
      </c>
      <c r="L326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30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238.04364708674956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226.08366462807001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246.36608989585901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3.3492947103959301E-3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478.14848275515902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6" s="5">
        <f>IF((DiscreteStatsTable[[#This Row],[RepsRequested]]&gt;1),DiscreteStatsTable[[#This Row],[HalfWidth]],DiscreteStatsTable[[#This Row],[BatchMeansHalfWidth]])</f>
        <v>1.6258745305629705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30</v>
      </c>
      <c r="Y326" s="5">
        <f>IF(DiscreteStatsTable[[#This Row],[RepsRequested]]=DiscreteStatsTable[[#This Row],[RepsWithStatObserved]],1,0)</f>
        <v>1</v>
      </c>
    </row>
    <row r="327" spans="1:25">
      <c r="A327" t="s">
        <v>67</v>
      </c>
      <c r="B327" t="s">
        <v>70</v>
      </c>
      <c r="C327">
        <v>26</v>
      </c>
      <c r="D327" t="s">
        <v>87</v>
      </c>
      <c r="E327" t="s">
        <v>84</v>
      </c>
      <c r="F327" t="s">
        <v>85</v>
      </c>
      <c r="G327">
        <v>237.37271969807199</v>
      </c>
      <c r="H327">
        <v>3E+20</v>
      </c>
      <c r="I327">
        <v>0.299106955736825</v>
      </c>
      <c r="J327">
        <v>477.10286303952699</v>
      </c>
      <c r="K327">
        <v>703</v>
      </c>
      <c r="L327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30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238.04364708674956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226.08366462807001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246.36608989585901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3.3492947103959301E-3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478.14848275515902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7" s="5">
        <f>IF((DiscreteStatsTable[[#This Row],[RepsRequested]]&gt;1),DiscreteStatsTable[[#This Row],[HalfWidth]],DiscreteStatsTable[[#This Row],[BatchMeansHalfWidth]])</f>
        <v>1.6258745305629705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30</v>
      </c>
      <c r="Y327" s="5">
        <f>IF(DiscreteStatsTable[[#This Row],[RepsRequested]]=DiscreteStatsTable[[#This Row],[RepsWithStatObserved]],1,0)</f>
        <v>1</v>
      </c>
    </row>
    <row r="328" spans="1:25">
      <c r="A328" t="s">
        <v>67</v>
      </c>
      <c r="B328" t="s">
        <v>70</v>
      </c>
      <c r="C328">
        <v>27</v>
      </c>
      <c r="D328" t="s">
        <v>87</v>
      </c>
      <c r="E328" t="s">
        <v>84</v>
      </c>
      <c r="F328" t="s">
        <v>85</v>
      </c>
      <c r="G328">
        <v>246.36608989585901</v>
      </c>
      <c r="H328">
        <v>3E+20</v>
      </c>
      <c r="I328">
        <v>0.127478734309976</v>
      </c>
      <c r="J328">
        <v>473.09157341291899</v>
      </c>
      <c r="K328">
        <v>632</v>
      </c>
      <c r="L328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30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238.04364708674956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226.08366462807001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246.36608989585901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3.3492947103959301E-3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478.14848275515902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8" s="5">
        <f>IF((DiscreteStatsTable[[#This Row],[RepsRequested]]&gt;1),DiscreteStatsTable[[#This Row],[HalfWidth]],DiscreteStatsTable[[#This Row],[BatchMeansHalfWidth]])</f>
        <v>1.6258745305629705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30</v>
      </c>
      <c r="Y328" s="5">
        <f>IF(DiscreteStatsTable[[#This Row],[RepsRequested]]=DiscreteStatsTable[[#This Row],[RepsWithStatObserved]],1,0)</f>
        <v>1</v>
      </c>
    </row>
    <row r="329" spans="1:25">
      <c r="A329" t="s">
        <v>67</v>
      </c>
      <c r="B329" t="s">
        <v>70</v>
      </c>
      <c r="C329">
        <v>28</v>
      </c>
      <c r="D329" t="s">
        <v>87</v>
      </c>
      <c r="E329" t="s">
        <v>84</v>
      </c>
      <c r="F329" t="s">
        <v>85</v>
      </c>
      <c r="G329">
        <v>241.81533260937599</v>
      </c>
      <c r="H329">
        <v>3E+20</v>
      </c>
      <c r="I329">
        <v>0.34838615380944599</v>
      </c>
      <c r="J329">
        <v>477.05906314414699</v>
      </c>
      <c r="K329">
        <v>683</v>
      </c>
      <c r="L329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30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238.04364708674956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4.3541719605327343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226.08366462807001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246.36608989585901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3.3492947103959301E-3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478.14848275515902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29" s="5">
        <f>IF((DiscreteStatsTable[[#This Row],[RepsRequested]]&gt;1),DiscreteStatsTable[[#This Row],[HalfWidth]],DiscreteStatsTable[[#This Row],[BatchMeansHalfWidth]])</f>
        <v>1.6258745305629705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30</v>
      </c>
      <c r="Y329" s="5">
        <f>IF(DiscreteStatsTable[[#This Row],[RepsRequested]]=DiscreteStatsTable[[#This Row],[RepsWithStatObserved]],1,0)</f>
        <v>1</v>
      </c>
    </row>
    <row r="330" spans="1:25">
      <c r="A330" t="s">
        <v>67</v>
      </c>
      <c r="B330" t="s">
        <v>70</v>
      </c>
      <c r="C330">
        <v>29</v>
      </c>
      <c r="D330" t="s">
        <v>87</v>
      </c>
      <c r="E330" t="s">
        <v>84</v>
      </c>
      <c r="F330" t="s">
        <v>85</v>
      </c>
      <c r="G330">
        <v>237.03827619282299</v>
      </c>
      <c r="H330">
        <v>3E+20</v>
      </c>
      <c r="I330">
        <v>0.66559287078420404</v>
      </c>
      <c r="J330">
        <v>471.28132210632401</v>
      </c>
      <c r="K330">
        <v>729</v>
      </c>
      <c r="L330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30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238.04364708674956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4.3541719605327343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226.08366462807001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246.36608989585901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3.3492947103959301E-3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478.14848275515902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30" s="5">
        <f>IF((DiscreteStatsTable[[#This Row],[RepsRequested]]&gt;1),DiscreteStatsTable[[#This Row],[HalfWidth]],DiscreteStatsTable[[#This Row],[BatchMeansHalfWidth]])</f>
        <v>1.6258745305629705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30</v>
      </c>
      <c r="Y330" s="5">
        <f>IF(DiscreteStatsTable[[#This Row],[RepsRequested]]=DiscreteStatsTable[[#This Row],[RepsWithStatObserved]],1,0)</f>
        <v>1</v>
      </c>
    </row>
    <row r="331" spans="1:25">
      <c r="A331" t="s">
        <v>67</v>
      </c>
      <c r="B331" t="s">
        <v>70</v>
      </c>
      <c r="C331">
        <v>30</v>
      </c>
      <c r="D331" t="s">
        <v>87</v>
      </c>
      <c r="E331" t="s">
        <v>84</v>
      </c>
      <c r="F331" t="s">
        <v>85</v>
      </c>
      <c r="G331">
        <v>239.902029052969</v>
      </c>
      <c r="H331">
        <v>3E+20</v>
      </c>
      <c r="I331">
        <v>1.1496387391535401</v>
      </c>
      <c r="J331">
        <v>475.94091972632901</v>
      </c>
      <c r="K331">
        <v>675</v>
      </c>
      <c r="L331" s="5" t="str">
        <f>DiscreteStatsTable[[#This Row],[ProjectName]]&amp;DiscreteStatsTable[[#This Row],[Name]]&amp;DiscreteStatsTable[[#This Row],[Type]]&amp;DiscreteStatsTable[[#This Row],[Source]]</f>
        <v>Unnamed ProjectTiempoSistemaExpressionUser Specified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30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238.04364708674956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4.3541719605327343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1.6258745305629705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226.08366462807001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246.36608989585901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3.3492947103959301E-3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478.14848275515902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679.23333333333335</v>
      </c>
      <c r="W331" s="5">
        <f>IF((DiscreteStatsTable[[#This Row],[RepsRequested]]&gt;1),DiscreteStatsTable[[#This Row],[HalfWidth]],DiscreteStatsTable[[#This Row],[BatchMeansHalfWidth]])</f>
        <v>1.6258745305629705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30</v>
      </c>
      <c r="Y331" s="5">
        <f>IF(DiscreteStatsTable[[#This Row],[RepsRequested]]=DiscreteStatsTable[[#This Row],[RepsWithStatObserved]],1,0)</f>
        <v>1</v>
      </c>
    </row>
  </sheetData>
  <phoneticPr fontId="2" type="noConversion"/>
  <conditionalFormatting sqref="H2:H331 Q2:Q331">
    <cfRule type="expression" dxfId="20" priority="23">
      <formula>H2=200000000000000000000</formula>
    </cfRule>
  </conditionalFormatting>
  <conditionalFormatting sqref="H2:H331">
    <cfRule type="expression" dxfId="19" priority="21">
      <formula>H2=300000000000000000000</formula>
    </cfRule>
  </conditionalFormatting>
  <conditionalFormatting sqref="L2:Y331">
    <cfRule type="expression" dxfId="18" priority="19">
      <formula>MOD(ROW(),2)=0</formula>
    </cfRule>
  </conditionalFormatting>
  <conditionalFormatting sqref="Y2:Y331">
    <cfRule type="expression" dxfId="17" priority="14">
      <formula>Y2=0</formula>
    </cfRule>
    <cfRule type="expression" dxfId="16" priority="16">
      <formula>Y2=1</formula>
    </cfRule>
  </conditionalFormatting>
  <conditionalFormatting sqref="Y3:Y331">
    <cfRule type="expression" dxfId="15" priority="15">
      <formula>Y3=1</formula>
    </cfRule>
  </conditionalFormatting>
  <conditionalFormatting sqref="W2:W33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31 W2:W33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71"/>
  <sheetViews>
    <sheetView workbookViewId="0">
      <selection activeCell="A2" sqref="A2:L11"/>
    </sheetView>
  </sheetViews>
  <sheetFormatPr defaultRowHeight="15"/>
  <cols>
    <col min="1" max="1" width="16.42578125" bestFit="1" customWidth="1"/>
    <col min="2" max="2" width="22.28515625" bestFit="1" customWidth="1"/>
    <col min="3" max="3" width="13.28515625" bestFit="1" customWidth="1"/>
    <col min="4" max="4" width="21.1406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8.28515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>
      <c r="A2" t="s">
        <v>67</v>
      </c>
      <c r="B2" t="s">
        <v>70</v>
      </c>
      <c r="C2">
        <v>1</v>
      </c>
      <c r="D2" t="s">
        <v>71</v>
      </c>
      <c r="E2" t="s">
        <v>88</v>
      </c>
      <c r="F2" t="s">
        <v>73</v>
      </c>
      <c r="G2">
        <v>5.6668939841009598</v>
      </c>
      <c r="H2">
        <v>3E+20</v>
      </c>
      <c r="I2">
        <v>0</v>
      </c>
      <c r="J2">
        <v>16</v>
      </c>
      <c r="K2">
        <v>7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4.1194471364998897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8.3550459526658596</v>
      </c>
      <c r="U2">
        <f>IF((ContinuousStatsTable[[#This Row],[RepsRequested]]&gt;1),ContinuousStatsTable[[#This Row],[HalfWidth]],ContinuousStatsTable[[#This Row],[BatchMeansHalfWidth]])</f>
        <v>0.33154533313227752</v>
      </c>
    </row>
    <row r="3" spans="1:21">
      <c r="A3" t="s">
        <v>67</v>
      </c>
      <c r="B3" t="s">
        <v>70</v>
      </c>
      <c r="C3">
        <v>1</v>
      </c>
      <c r="D3" t="s">
        <v>79</v>
      </c>
      <c r="E3" t="s">
        <v>89</v>
      </c>
      <c r="F3" t="s">
        <v>81</v>
      </c>
      <c r="G3">
        <v>8.04970557251872E-2</v>
      </c>
      <c r="H3">
        <v>2.7531203743740702E-2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4.2893123096714503E-2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8.2167854080019698E-2</v>
      </c>
      <c r="U3">
        <f>IF((ContinuousStatsTable[[#This Row],[RepsRequested]]&gt;1),ContinuousStatsTable[[#This Row],[HalfWidth]],ContinuousStatsTable[[#This Row],[BatchMeansHalfWidth]])</f>
        <v>3.7191130285907097E-3</v>
      </c>
    </row>
    <row r="4" spans="1:21">
      <c r="A4" t="s">
        <v>67</v>
      </c>
      <c r="B4" t="s">
        <v>70</v>
      </c>
      <c r="C4">
        <v>1</v>
      </c>
      <c r="D4" t="s">
        <v>82</v>
      </c>
      <c r="E4" t="s">
        <v>89</v>
      </c>
      <c r="F4" t="s">
        <v>81</v>
      </c>
      <c r="G4">
        <v>2.3852160346199902</v>
      </c>
      <c r="H4">
        <v>3E+20</v>
      </c>
      <c r="I4">
        <v>0</v>
      </c>
      <c r="J4">
        <v>12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1.16047720119272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5.0272524622418899</v>
      </c>
      <c r="U4">
        <f>IF((ContinuousStatsTable[[#This Row],[RepsRequested]]&gt;1),ContinuousStatsTable[[#This Row],[HalfWidth]],ContinuousStatsTable[[#This Row],[BatchMeansHalfWidth]])</f>
        <v>0.29961479841885524</v>
      </c>
    </row>
    <row r="5" spans="1:21">
      <c r="A5" t="s">
        <v>67</v>
      </c>
      <c r="B5" t="s">
        <v>70</v>
      </c>
      <c r="C5">
        <v>1</v>
      </c>
      <c r="D5" t="s">
        <v>90</v>
      </c>
      <c r="E5" t="s">
        <v>91</v>
      </c>
      <c r="F5" t="s">
        <v>92</v>
      </c>
      <c r="G5">
        <v>0.888747032669718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0.79563957753275305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0.91388224334429202</v>
      </c>
      <c r="U5">
        <f>IF((ContinuousStatsTable[[#This Row],[RepsRequested]]&gt;1),ContinuousStatsTable[[#This Row],[HalfWidth]],ContinuousStatsTable[[#This Row],[BatchMeansHalfWidth]])</f>
        <v>1.1109852606791693E-2</v>
      </c>
    </row>
    <row r="6" spans="1:21">
      <c r="A6" t="s">
        <v>67</v>
      </c>
      <c r="B6" t="s">
        <v>70</v>
      </c>
      <c r="C6">
        <v>1</v>
      </c>
      <c r="D6" t="s">
        <v>90</v>
      </c>
      <c r="E6" t="s">
        <v>93</v>
      </c>
      <c r="F6" t="s">
        <v>92</v>
      </c>
      <c r="G6">
        <v>1.77749406533944</v>
      </c>
      <c r="H6">
        <v>2E+20</v>
      </c>
      <c r="I6">
        <v>0</v>
      </c>
      <c r="J6">
        <v>2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1.5912791550655101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1.82776448668858</v>
      </c>
      <c r="U6">
        <f>IF((ContinuousStatsTable[[#This Row],[RepsRequested]]&gt;1),ContinuousStatsTable[[#This Row],[HalfWidth]],ContinuousStatsTable[[#This Row],[BatchMeansHalfWidth]])</f>
        <v>2.2219705213583314E-2</v>
      </c>
    </row>
    <row r="7" spans="1:21">
      <c r="A7" t="s">
        <v>67</v>
      </c>
      <c r="B7" t="s">
        <v>70</v>
      </c>
      <c r="C7">
        <v>1</v>
      </c>
      <c r="D7" t="s">
        <v>90</v>
      </c>
      <c r="E7" t="s">
        <v>94</v>
      </c>
      <c r="F7" t="s">
        <v>92</v>
      </c>
      <c r="G7">
        <v>2</v>
      </c>
      <c r="H7">
        <v>2E+20</v>
      </c>
      <c r="I7">
        <v>2</v>
      </c>
      <c r="J7">
        <v>2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</v>
      </c>
      <c r="U7">
        <f>IF((ContinuousStatsTable[[#This Row],[RepsRequested]]&gt;1),ContinuousStatsTable[[#This Row],[HalfWidth]],ContinuousStatsTable[[#This Row],[BatchMeansHalfWidth]])</f>
        <v>0</v>
      </c>
    </row>
    <row r="8" spans="1:21">
      <c r="A8" t="s">
        <v>67</v>
      </c>
      <c r="B8" t="s">
        <v>70</v>
      </c>
      <c r="C8">
        <v>1</v>
      </c>
      <c r="D8" t="s">
        <v>95</v>
      </c>
      <c r="E8" t="s">
        <v>91</v>
      </c>
      <c r="F8" t="s">
        <v>92</v>
      </c>
      <c r="G8">
        <v>0.71184341420816899</v>
      </c>
      <c r="H8">
        <v>4.5182103174451302E-2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0.62568527922134098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0.72090720879040104</v>
      </c>
      <c r="U8">
        <f>IF((ContinuousStatsTable[[#This Row],[RepsRequested]]&gt;1),ContinuousStatsTable[[#This Row],[HalfWidth]],ContinuousStatsTable[[#This Row],[BatchMeansHalfWidth]])</f>
        <v>9.4948322151438332E-3</v>
      </c>
    </row>
    <row r="9" spans="1:21">
      <c r="A9" t="s">
        <v>67</v>
      </c>
      <c r="B9" t="s">
        <v>70</v>
      </c>
      <c r="C9">
        <v>1</v>
      </c>
      <c r="D9" t="s">
        <v>95</v>
      </c>
      <c r="E9" t="s">
        <v>93</v>
      </c>
      <c r="F9" t="s">
        <v>92</v>
      </c>
      <c r="G9">
        <v>1.42368682841634</v>
      </c>
      <c r="H9">
        <v>9.0364206348902507E-2</v>
      </c>
      <c r="I9">
        <v>0</v>
      </c>
      <c r="J9">
        <v>2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1.25137055844268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1.4418144175808001</v>
      </c>
      <c r="U9">
        <f>IF((ContinuousStatsTable[[#This Row],[RepsRequested]]&gt;1),ContinuousStatsTable[[#This Row],[HalfWidth]],ContinuousStatsTable[[#This Row],[BatchMeansHalfWidth]])</f>
        <v>1.8989664430287469E-2</v>
      </c>
    </row>
    <row r="10" spans="1:21">
      <c r="A10" t="s">
        <v>67</v>
      </c>
      <c r="B10" t="s">
        <v>70</v>
      </c>
      <c r="C10">
        <v>1</v>
      </c>
      <c r="D10" t="s">
        <v>95</v>
      </c>
      <c r="E10" t="s">
        <v>94</v>
      </c>
      <c r="F10" t="s">
        <v>92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>
      <c r="A11" t="s">
        <v>67</v>
      </c>
      <c r="B11" t="s">
        <v>70</v>
      </c>
      <c r="C11">
        <v>2</v>
      </c>
      <c r="D11" t="s">
        <v>71</v>
      </c>
      <c r="E11" t="s">
        <v>88</v>
      </c>
      <c r="F11" t="s">
        <v>73</v>
      </c>
      <c r="G11">
        <v>4.9364757486995403</v>
      </c>
      <c r="H11">
        <v>0.64744364985270797</v>
      </c>
      <c r="I11">
        <v>0</v>
      </c>
      <c r="J11">
        <v>13</v>
      </c>
      <c r="K11">
        <v>4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4.1194471364998897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8.3550459526658596</v>
      </c>
      <c r="U11">
        <f>IF((ContinuousStatsTable[[#This Row],[RepsRequested]]&gt;1),ContinuousStatsTable[[#This Row],[HalfWidth]],ContinuousStatsTable[[#This Row],[BatchMeansHalfWidth]])</f>
        <v>0.33154533313227752</v>
      </c>
    </row>
    <row r="12" spans="1:21">
      <c r="A12" t="s">
        <v>67</v>
      </c>
      <c r="B12" t="s">
        <v>70</v>
      </c>
      <c r="C12">
        <v>2</v>
      </c>
      <c r="D12" t="s">
        <v>79</v>
      </c>
      <c r="E12" t="s">
        <v>89</v>
      </c>
      <c r="F12" t="s">
        <v>81</v>
      </c>
      <c r="G12">
        <v>7.5098146979247896E-2</v>
      </c>
      <c r="H12">
        <v>2.3418540396527601E-2</v>
      </c>
      <c r="I12">
        <v>0</v>
      </c>
      <c r="J12">
        <v>2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4.2893123096714503E-2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8.2167854080019698E-2</v>
      </c>
      <c r="U12" s="5">
        <f>IF((ContinuousStatsTable[[#This Row],[RepsRequested]]&gt;1),ContinuousStatsTable[[#This Row],[HalfWidth]],ContinuousStatsTable[[#This Row],[BatchMeansHalfWidth]])</f>
        <v>3.7191130285907097E-3</v>
      </c>
    </row>
    <row r="13" spans="1:21">
      <c r="A13" t="s">
        <v>67</v>
      </c>
      <c r="B13" t="s">
        <v>70</v>
      </c>
      <c r="C13">
        <v>2</v>
      </c>
      <c r="D13" t="s">
        <v>82</v>
      </c>
      <c r="E13" t="s">
        <v>89</v>
      </c>
      <c r="F13" t="s">
        <v>81</v>
      </c>
      <c r="G13">
        <v>1.7675894949269499</v>
      </c>
      <c r="H13">
        <v>0.49740442626860898</v>
      </c>
      <c r="I13">
        <v>0</v>
      </c>
      <c r="J13">
        <v>8</v>
      </c>
      <c r="K13">
        <v>2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1.16047720119272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5.0272524622418899</v>
      </c>
      <c r="U13" s="5">
        <f>IF((ContinuousStatsTable[[#This Row],[RepsRequested]]&gt;1),ContinuousStatsTable[[#This Row],[HalfWidth]],ContinuousStatsTable[[#This Row],[BatchMeansHalfWidth]])</f>
        <v>0.29961479841885524</v>
      </c>
    </row>
    <row r="14" spans="1:21">
      <c r="A14" t="s">
        <v>67</v>
      </c>
      <c r="B14" t="s">
        <v>70</v>
      </c>
      <c r="C14">
        <v>2</v>
      </c>
      <c r="D14" t="s">
        <v>90</v>
      </c>
      <c r="E14" t="s">
        <v>91</v>
      </c>
      <c r="F14" t="s">
        <v>92</v>
      </c>
      <c r="G14">
        <v>0.85317971533620895</v>
      </c>
      <c r="H14">
        <v>4.6360159137780403E-2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0.79563957753275305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0.91388224334429202</v>
      </c>
      <c r="U14" s="5">
        <f>IF((ContinuousStatsTable[[#This Row],[RepsRequested]]&gt;1),ContinuousStatsTable[[#This Row],[HalfWidth]],ContinuousStatsTable[[#This Row],[BatchMeansHalfWidth]])</f>
        <v>1.1109852606791693E-2</v>
      </c>
    </row>
    <row r="15" spans="1:21">
      <c r="A15" t="s">
        <v>67</v>
      </c>
      <c r="B15" t="s">
        <v>70</v>
      </c>
      <c r="C15">
        <v>2</v>
      </c>
      <c r="D15" t="s">
        <v>90</v>
      </c>
      <c r="E15" t="s">
        <v>93</v>
      </c>
      <c r="F15" t="s">
        <v>92</v>
      </c>
      <c r="G15">
        <v>1.7063594306724199</v>
      </c>
      <c r="H15">
        <v>9.2720318275560695E-2</v>
      </c>
      <c r="I15">
        <v>0</v>
      </c>
      <c r="J15">
        <v>2</v>
      </c>
      <c r="K15">
        <v>2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1.5912791550655101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1.82776448668858</v>
      </c>
      <c r="U15" s="5">
        <f>IF((ContinuousStatsTable[[#This Row],[RepsRequested]]&gt;1),ContinuousStatsTable[[#This Row],[HalfWidth]],ContinuousStatsTable[[#This Row],[BatchMeansHalfWidth]])</f>
        <v>2.2219705213583314E-2</v>
      </c>
    </row>
    <row r="16" spans="1:21">
      <c r="A16" t="s">
        <v>67</v>
      </c>
      <c r="B16" t="s">
        <v>70</v>
      </c>
      <c r="C16">
        <v>2</v>
      </c>
      <c r="D16" t="s">
        <v>90</v>
      </c>
      <c r="E16" t="s">
        <v>94</v>
      </c>
      <c r="F16" t="s">
        <v>92</v>
      </c>
      <c r="G16">
        <v>2</v>
      </c>
      <c r="H16">
        <v>2E+20</v>
      </c>
      <c r="I16">
        <v>2</v>
      </c>
      <c r="J16">
        <v>2</v>
      </c>
      <c r="K16">
        <v>2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2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>
      <c r="A17" t="s">
        <v>67</v>
      </c>
      <c r="B17" t="s">
        <v>70</v>
      </c>
      <c r="C17">
        <v>2</v>
      </c>
      <c r="D17" t="s">
        <v>95</v>
      </c>
      <c r="E17" t="s">
        <v>91</v>
      </c>
      <c r="F17" t="s">
        <v>92</v>
      </c>
      <c r="G17">
        <v>0.69371433806046501</v>
      </c>
      <c r="H17">
        <v>3.9199142602936297E-2</v>
      </c>
      <c r="I17">
        <v>0</v>
      </c>
      <c r="J17">
        <v>1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0.62568527922134098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0.72090720879040104</v>
      </c>
      <c r="U17" s="5">
        <f>IF((ContinuousStatsTable[[#This Row],[RepsRequested]]&gt;1),ContinuousStatsTable[[#This Row],[HalfWidth]],ContinuousStatsTable[[#This Row],[BatchMeansHalfWidth]])</f>
        <v>9.4948322151438332E-3</v>
      </c>
    </row>
    <row r="18" spans="1:21">
      <c r="A18" t="s">
        <v>67</v>
      </c>
      <c r="B18" t="s">
        <v>70</v>
      </c>
      <c r="C18">
        <v>2</v>
      </c>
      <c r="D18" t="s">
        <v>95</v>
      </c>
      <c r="E18" t="s">
        <v>93</v>
      </c>
      <c r="F18" t="s">
        <v>92</v>
      </c>
      <c r="G18">
        <v>1.38742867612093</v>
      </c>
      <c r="H18">
        <v>7.8398285205872595E-2</v>
      </c>
      <c r="I18">
        <v>0</v>
      </c>
      <c r="J18">
        <v>2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1.25137055844268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1.4418144175808001</v>
      </c>
      <c r="U18" s="5">
        <f>IF((ContinuousStatsTable[[#This Row],[RepsRequested]]&gt;1),ContinuousStatsTable[[#This Row],[HalfWidth]],ContinuousStatsTable[[#This Row],[BatchMeansHalfWidth]])</f>
        <v>1.8989664430287469E-2</v>
      </c>
    </row>
    <row r="19" spans="1:21">
      <c r="A19" t="s">
        <v>67</v>
      </c>
      <c r="B19" t="s">
        <v>70</v>
      </c>
      <c r="C19">
        <v>2</v>
      </c>
      <c r="D19" t="s">
        <v>95</v>
      </c>
      <c r="E19" t="s">
        <v>94</v>
      </c>
      <c r="F19" t="s">
        <v>92</v>
      </c>
      <c r="G19">
        <v>2</v>
      </c>
      <c r="H19">
        <v>2E+20</v>
      </c>
      <c r="I19">
        <v>2</v>
      </c>
      <c r="J19">
        <v>2</v>
      </c>
      <c r="K19">
        <v>2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2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2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2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>
      <c r="A20" t="s">
        <v>67</v>
      </c>
      <c r="B20" t="s">
        <v>70</v>
      </c>
      <c r="C20">
        <v>3</v>
      </c>
      <c r="D20" t="s">
        <v>71</v>
      </c>
      <c r="E20" t="s">
        <v>88</v>
      </c>
      <c r="F20" t="s">
        <v>73</v>
      </c>
      <c r="G20">
        <v>5.3227818637061199</v>
      </c>
      <c r="H20">
        <v>3E+20</v>
      </c>
      <c r="I20">
        <v>0</v>
      </c>
      <c r="J20">
        <v>19</v>
      </c>
      <c r="K20">
        <v>8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4.1194471364998897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8.3550459526658596</v>
      </c>
      <c r="U20" s="5">
        <f>IF((ContinuousStatsTable[[#This Row],[RepsRequested]]&gt;1),ContinuousStatsTable[[#This Row],[HalfWidth]],ContinuousStatsTable[[#This Row],[BatchMeansHalfWidth]])</f>
        <v>0.33154533313227752</v>
      </c>
    </row>
    <row r="21" spans="1:21">
      <c r="A21" t="s">
        <v>67</v>
      </c>
      <c r="B21" t="s">
        <v>70</v>
      </c>
      <c r="C21">
        <v>3</v>
      </c>
      <c r="D21" t="s">
        <v>79</v>
      </c>
      <c r="E21" t="s">
        <v>89</v>
      </c>
      <c r="F21" t="s">
        <v>81</v>
      </c>
      <c r="G21">
        <v>5.9283188709429301E-2</v>
      </c>
      <c r="H21">
        <v>2E+20</v>
      </c>
      <c r="I21">
        <v>0</v>
      </c>
      <c r="J21">
        <v>2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4.2893123096714503E-2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8.2167854080019698E-2</v>
      </c>
      <c r="U21" s="5">
        <f>IF((ContinuousStatsTable[[#This Row],[RepsRequested]]&gt;1),ContinuousStatsTable[[#This Row],[HalfWidth]],ContinuousStatsTable[[#This Row],[BatchMeansHalfWidth]])</f>
        <v>3.7191130285907097E-3</v>
      </c>
    </row>
    <row r="22" spans="1:21">
      <c r="A22" t="s">
        <v>67</v>
      </c>
      <c r="B22" t="s">
        <v>70</v>
      </c>
      <c r="C22">
        <v>3</v>
      </c>
      <c r="D22" t="s">
        <v>82</v>
      </c>
      <c r="E22" t="s">
        <v>89</v>
      </c>
      <c r="F22" t="s">
        <v>81</v>
      </c>
      <c r="G22">
        <v>2.2303782641988401</v>
      </c>
      <c r="H22">
        <v>3E+20</v>
      </c>
      <c r="I22">
        <v>0</v>
      </c>
      <c r="J22">
        <v>15</v>
      </c>
      <c r="K22">
        <v>4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1.16047720119272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5.0272524622418899</v>
      </c>
      <c r="U22" s="5">
        <f>IF((ContinuousStatsTable[[#This Row],[RepsRequested]]&gt;1),ContinuousStatsTable[[#This Row],[HalfWidth]],ContinuousStatsTable[[#This Row],[BatchMeansHalfWidth]])</f>
        <v>0.29961479841885524</v>
      </c>
    </row>
    <row r="23" spans="1:21">
      <c r="A23" t="s">
        <v>67</v>
      </c>
      <c r="B23" t="s">
        <v>70</v>
      </c>
      <c r="C23">
        <v>3</v>
      </c>
      <c r="D23" t="s">
        <v>90</v>
      </c>
      <c r="E23" t="s">
        <v>91</v>
      </c>
      <c r="F23" t="s">
        <v>92</v>
      </c>
      <c r="G23">
        <v>0.83986710966508504</v>
      </c>
      <c r="H23">
        <v>5.5175101427227799E-2</v>
      </c>
      <c r="I23">
        <v>0</v>
      </c>
      <c r="J23">
        <v>1</v>
      </c>
      <c r="K23">
        <v>1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0.79563957753275305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0.91388224334429202</v>
      </c>
      <c r="U23" s="5">
        <f>IF((ContinuousStatsTable[[#This Row],[RepsRequested]]&gt;1),ContinuousStatsTable[[#This Row],[HalfWidth]],ContinuousStatsTable[[#This Row],[BatchMeansHalfWidth]])</f>
        <v>1.1109852606791693E-2</v>
      </c>
    </row>
    <row r="24" spans="1:21">
      <c r="A24" t="s">
        <v>67</v>
      </c>
      <c r="B24" t="s">
        <v>70</v>
      </c>
      <c r="C24">
        <v>3</v>
      </c>
      <c r="D24" t="s">
        <v>90</v>
      </c>
      <c r="E24" t="s">
        <v>93</v>
      </c>
      <c r="F24" t="s">
        <v>92</v>
      </c>
      <c r="G24">
        <v>1.6797342193301701</v>
      </c>
      <c r="H24">
        <v>0.110350202854456</v>
      </c>
      <c r="I24">
        <v>0</v>
      </c>
      <c r="J24">
        <v>2</v>
      </c>
      <c r="K24">
        <v>2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1.5912791550655101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1.82776448668858</v>
      </c>
      <c r="U24" s="5">
        <f>IF((ContinuousStatsTable[[#This Row],[RepsRequested]]&gt;1),ContinuousStatsTable[[#This Row],[HalfWidth]],ContinuousStatsTable[[#This Row],[BatchMeansHalfWidth]])</f>
        <v>2.2219705213583314E-2</v>
      </c>
    </row>
    <row r="25" spans="1:21">
      <c r="A25" t="s">
        <v>67</v>
      </c>
      <c r="B25" t="s">
        <v>70</v>
      </c>
      <c r="C25">
        <v>3</v>
      </c>
      <c r="D25" t="s">
        <v>90</v>
      </c>
      <c r="E25" t="s">
        <v>94</v>
      </c>
      <c r="F25" t="s">
        <v>92</v>
      </c>
      <c r="G25">
        <v>2</v>
      </c>
      <c r="H25">
        <v>2E+20</v>
      </c>
      <c r="I25">
        <v>2</v>
      </c>
      <c r="J25">
        <v>2</v>
      </c>
      <c r="K25">
        <v>2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2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2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2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>
      <c r="A26" t="s">
        <v>67</v>
      </c>
      <c r="B26" t="s">
        <v>70</v>
      </c>
      <c r="C26">
        <v>3</v>
      </c>
      <c r="D26" t="s">
        <v>95</v>
      </c>
      <c r="E26" t="s">
        <v>91</v>
      </c>
      <c r="F26" t="s">
        <v>92</v>
      </c>
      <c r="G26">
        <v>0.67669309573383496</v>
      </c>
      <c r="H26">
        <v>4.6903410409253103E-2</v>
      </c>
      <c r="I26">
        <v>0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0.62568527922134098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0.72090720879040104</v>
      </c>
      <c r="U26" s="5">
        <f>IF((ContinuousStatsTable[[#This Row],[RepsRequested]]&gt;1),ContinuousStatsTable[[#This Row],[HalfWidth]],ContinuousStatsTable[[#This Row],[BatchMeansHalfWidth]])</f>
        <v>9.4948322151438332E-3</v>
      </c>
    </row>
    <row r="27" spans="1:21">
      <c r="A27" t="s">
        <v>67</v>
      </c>
      <c r="B27" t="s">
        <v>70</v>
      </c>
      <c r="C27">
        <v>3</v>
      </c>
      <c r="D27" t="s">
        <v>95</v>
      </c>
      <c r="E27" t="s">
        <v>93</v>
      </c>
      <c r="F27" t="s">
        <v>92</v>
      </c>
      <c r="G27">
        <v>1.3533861914676699</v>
      </c>
      <c r="H27">
        <v>9.3806820818506303E-2</v>
      </c>
      <c r="I27">
        <v>0</v>
      </c>
      <c r="J27">
        <v>2</v>
      </c>
      <c r="K27">
        <v>2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1.25137055844268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1.4418144175808001</v>
      </c>
      <c r="U27" s="5">
        <f>IF((ContinuousStatsTable[[#This Row],[RepsRequested]]&gt;1),ContinuousStatsTable[[#This Row],[HalfWidth]],ContinuousStatsTable[[#This Row],[BatchMeansHalfWidth]])</f>
        <v>1.8989664430287469E-2</v>
      </c>
    </row>
    <row r="28" spans="1:21">
      <c r="A28" t="s">
        <v>67</v>
      </c>
      <c r="B28" t="s">
        <v>70</v>
      </c>
      <c r="C28">
        <v>3</v>
      </c>
      <c r="D28" t="s">
        <v>95</v>
      </c>
      <c r="E28" t="s">
        <v>94</v>
      </c>
      <c r="F28" t="s">
        <v>92</v>
      </c>
      <c r="G28">
        <v>2</v>
      </c>
      <c r="H28">
        <v>2E+20</v>
      </c>
      <c r="I28">
        <v>2</v>
      </c>
      <c r="J28">
        <v>2</v>
      </c>
      <c r="K28">
        <v>2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2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2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2</v>
      </c>
      <c r="U28" s="5">
        <f>IF((ContinuousStatsTable[[#This Row],[RepsRequested]]&gt;1),ContinuousStatsTable[[#This Row],[HalfWidth]],ContinuousStatsTable[[#This Row],[BatchMeansHalfWidth]])</f>
        <v>0</v>
      </c>
    </row>
    <row r="29" spans="1:21">
      <c r="A29" t="s">
        <v>67</v>
      </c>
      <c r="B29" t="s">
        <v>70</v>
      </c>
      <c r="C29">
        <v>4</v>
      </c>
      <c r="D29" t="s">
        <v>71</v>
      </c>
      <c r="E29" t="s">
        <v>88</v>
      </c>
      <c r="F29" t="s">
        <v>73</v>
      </c>
      <c r="G29">
        <v>5.6756227958373504</v>
      </c>
      <c r="H29">
        <v>3E+20</v>
      </c>
      <c r="I29">
        <v>0</v>
      </c>
      <c r="J29">
        <v>19</v>
      </c>
      <c r="K29">
        <v>6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4.1194471364998897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8.3550459526658596</v>
      </c>
      <c r="U29" s="5">
        <f>IF((ContinuousStatsTable[[#This Row],[RepsRequested]]&gt;1),ContinuousStatsTable[[#This Row],[HalfWidth]],ContinuousStatsTable[[#This Row],[BatchMeansHalfWidth]])</f>
        <v>0.33154533313227752</v>
      </c>
    </row>
    <row r="30" spans="1:21">
      <c r="A30" t="s">
        <v>67</v>
      </c>
      <c r="B30" t="s">
        <v>70</v>
      </c>
      <c r="C30">
        <v>4</v>
      </c>
      <c r="D30" t="s">
        <v>79</v>
      </c>
      <c r="E30" t="s">
        <v>89</v>
      </c>
      <c r="F30" t="s">
        <v>81</v>
      </c>
      <c r="G30">
        <v>6.7775794492793195E-2</v>
      </c>
      <c r="H30">
        <v>1.77784891708863E-2</v>
      </c>
      <c r="I30">
        <v>0</v>
      </c>
      <c r="J30">
        <v>2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4.2893123096714503E-2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8.2167854080019698E-2</v>
      </c>
      <c r="U30" s="5">
        <f>IF((ContinuousStatsTable[[#This Row],[RepsRequested]]&gt;1),ContinuousStatsTable[[#This Row],[HalfWidth]],ContinuousStatsTable[[#This Row],[BatchMeansHalfWidth]])</f>
        <v>3.7191130285907097E-3</v>
      </c>
    </row>
    <row r="31" spans="1:21">
      <c r="A31" t="s">
        <v>67</v>
      </c>
      <c r="B31" t="s">
        <v>70</v>
      </c>
      <c r="C31">
        <v>4</v>
      </c>
      <c r="D31" t="s">
        <v>82</v>
      </c>
      <c r="E31" t="s">
        <v>89</v>
      </c>
      <c r="F31" t="s">
        <v>81</v>
      </c>
      <c r="G31">
        <v>2.4431273619897902</v>
      </c>
      <c r="H31">
        <v>3E+20</v>
      </c>
      <c r="I31">
        <v>0</v>
      </c>
      <c r="J31">
        <v>15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1.16047720119272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5.0272524622418899</v>
      </c>
      <c r="U31" s="5">
        <f>IF((ContinuousStatsTable[[#This Row],[RepsRequested]]&gt;1),ContinuousStatsTable[[#This Row],[HalfWidth]],ContinuousStatsTable[[#This Row],[BatchMeansHalfWidth]])</f>
        <v>0.29961479841885524</v>
      </c>
    </row>
    <row r="32" spans="1:21">
      <c r="A32" t="s">
        <v>67</v>
      </c>
      <c r="B32" t="s">
        <v>70</v>
      </c>
      <c r="C32">
        <v>4</v>
      </c>
      <c r="D32" t="s">
        <v>90</v>
      </c>
      <c r="E32" t="s">
        <v>91</v>
      </c>
      <c r="F32" t="s">
        <v>92</v>
      </c>
      <c r="G32">
        <v>0.87469053136530295</v>
      </c>
      <c r="H32">
        <v>2E+20</v>
      </c>
      <c r="I32">
        <v>0</v>
      </c>
      <c r="J32">
        <v>1</v>
      </c>
      <c r="K32">
        <v>1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0.79563957753275305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0.91388224334429202</v>
      </c>
      <c r="U32" s="5">
        <f>IF((ContinuousStatsTable[[#This Row],[RepsRequested]]&gt;1),ContinuousStatsTable[[#This Row],[HalfWidth]],ContinuousStatsTable[[#This Row],[BatchMeansHalfWidth]])</f>
        <v>1.1109852606791693E-2</v>
      </c>
    </row>
    <row r="33" spans="1:21">
      <c r="A33" t="s">
        <v>67</v>
      </c>
      <c r="B33" t="s">
        <v>70</v>
      </c>
      <c r="C33">
        <v>4</v>
      </c>
      <c r="D33" t="s">
        <v>90</v>
      </c>
      <c r="E33" t="s">
        <v>93</v>
      </c>
      <c r="F33" t="s">
        <v>92</v>
      </c>
      <c r="G33">
        <v>1.7493810627306099</v>
      </c>
      <c r="H33">
        <v>2E+20</v>
      </c>
      <c r="I33">
        <v>0</v>
      </c>
      <c r="J33">
        <v>2</v>
      </c>
      <c r="K33">
        <v>2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1.5912791550655101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1.82776448668858</v>
      </c>
      <c r="U33" s="5">
        <f>IF((ContinuousStatsTable[[#This Row],[RepsRequested]]&gt;1),ContinuousStatsTable[[#This Row],[HalfWidth]],ContinuousStatsTable[[#This Row],[BatchMeansHalfWidth]])</f>
        <v>2.2219705213583314E-2</v>
      </c>
    </row>
    <row r="34" spans="1:21">
      <c r="A34" t="s">
        <v>67</v>
      </c>
      <c r="B34" t="s">
        <v>70</v>
      </c>
      <c r="C34">
        <v>4</v>
      </c>
      <c r="D34" t="s">
        <v>90</v>
      </c>
      <c r="E34" t="s">
        <v>94</v>
      </c>
      <c r="F34" t="s">
        <v>92</v>
      </c>
      <c r="G34">
        <v>2</v>
      </c>
      <c r="H34">
        <v>2E+20</v>
      </c>
      <c r="I34">
        <v>2</v>
      </c>
      <c r="J34">
        <v>2</v>
      </c>
      <c r="K34">
        <v>2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2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2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2</v>
      </c>
      <c r="U34" s="5">
        <f>IF((ContinuousStatsTable[[#This Row],[RepsRequested]]&gt;1),ContinuousStatsTable[[#This Row],[HalfWidth]],ContinuousStatsTable[[#This Row],[BatchMeansHalfWidth]])</f>
        <v>0</v>
      </c>
    </row>
    <row r="35" spans="1:21">
      <c r="A35" t="s">
        <v>67</v>
      </c>
      <c r="B35" t="s">
        <v>70</v>
      </c>
      <c r="C35">
        <v>4</v>
      </c>
      <c r="D35" t="s">
        <v>95</v>
      </c>
      <c r="E35" t="s">
        <v>91</v>
      </c>
      <c r="F35" t="s">
        <v>92</v>
      </c>
      <c r="G35">
        <v>0.70766928831208498</v>
      </c>
      <c r="H35">
        <v>4.17915388881702E-2</v>
      </c>
      <c r="I35">
        <v>0</v>
      </c>
      <c r="J35">
        <v>1</v>
      </c>
      <c r="K35">
        <v>1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0.62568527922134098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0.72090720879040104</v>
      </c>
      <c r="U35" s="5">
        <f>IF((ContinuousStatsTable[[#This Row],[RepsRequested]]&gt;1),ContinuousStatsTable[[#This Row],[HalfWidth]],ContinuousStatsTable[[#This Row],[BatchMeansHalfWidth]])</f>
        <v>9.4948322151438332E-3</v>
      </c>
    </row>
    <row r="36" spans="1:21">
      <c r="A36" t="s">
        <v>67</v>
      </c>
      <c r="B36" t="s">
        <v>70</v>
      </c>
      <c r="C36">
        <v>4</v>
      </c>
      <c r="D36" t="s">
        <v>95</v>
      </c>
      <c r="E36" t="s">
        <v>93</v>
      </c>
      <c r="F36" t="s">
        <v>92</v>
      </c>
      <c r="G36">
        <v>1.41533857662417</v>
      </c>
      <c r="H36">
        <v>8.3583077776340498E-2</v>
      </c>
      <c r="I36">
        <v>0</v>
      </c>
      <c r="J36">
        <v>2</v>
      </c>
      <c r="K36">
        <v>2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1.25137055844268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1.4418144175808001</v>
      </c>
      <c r="U36" s="5">
        <f>IF((ContinuousStatsTable[[#This Row],[RepsRequested]]&gt;1),ContinuousStatsTable[[#This Row],[HalfWidth]],ContinuousStatsTable[[#This Row],[BatchMeansHalfWidth]])</f>
        <v>1.8989664430287469E-2</v>
      </c>
    </row>
    <row r="37" spans="1:21">
      <c r="A37" t="s">
        <v>67</v>
      </c>
      <c r="B37" t="s">
        <v>70</v>
      </c>
      <c r="C37">
        <v>4</v>
      </c>
      <c r="D37" t="s">
        <v>95</v>
      </c>
      <c r="E37" t="s">
        <v>94</v>
      </c>
      <c r="F37" t="s">
        <v>92</v>
      </c>
      <c r="G37">
        <v>2</v>
      </c>
      <c r="H37">
        <v>2E+20</v>
      </c>
      <c r="I37">
        <v>2</v>
      </c>
      <c r="J37">
        <v>2</v>
      </c>
      <c r="K37">
        <v>2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2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2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2</v>
      </c>
      <c r="U37" s="5">
        <f>IF((ContinuousStatsTable[[#This Row],[RepsRequested]]&gt;1),ContinuousStatsTable[[#This Row],[HalfWidth]],ContinuousStatsTable[[#This Row],[BatchMeansHalfWidth]])</f>
        <v>0</v>
      </c>
    </row>
    <row r="38" spans="1:21">
      <c r="A38" t="s">
        <v>67</v>
      </c>
      <c r="B38" t="s">
        <v>70</v>
      </c>
      <c r="C38">
        <v>5</v>
      </c>
      <c r="D38" t="s">
        <v>71</v>
      </c>
      <c r="E38" t="s">
        <v>88</v>
      </c>
      <c r="F38" t="s">
        <v>73</v>
      </c>
      <c r="G38">
        <v>5.3828242122540502</v>
      </c>
      <c r="H38">
        <v>3E+20</v>
      </c>
      <c r="I38">
        <v>0</v>
      </c>
      <c r="J38">
        <v>14</v>
      </c>
      <c r="K38">
        <v>8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4.1194471364998897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8.3550459526658596</v>
      </c>
      <c r="U38" s="5">
        <f>IF((ContinuousStatsTable[[#This Row],[RepsRequested]]&gt;1),ContinuousStatsTable[[#This Row],[HalfWidth]],ContinuousStatsTable[[#This Row],[BatchMeansHalfWidth]])</f>
        <v>0.33154533313227752</v>
      </c>
    </row>
    <row r="39" spans="1:21">
      <c r="A39" t="s">
        <v>67</v>
      </c>
      <c r="B39" t="s">
        <v>70</v>
      </c>
      <c r="C39">
        <v>5</v>
      </c>
      <c r="D39" t="s">
        <v>79</v>
      </c>
      <c r="E39" t="s">
        <v>89</v>
      </c>
      <c r="F39" t="s">
        <v>81</v>
      </c>
      <c r="G39">
        <v>7.5884686336502999E-2</v>
      </c>
      <c r="H39">
        <v>2.38249728213955E-2</v>
      </c>
      <c r="I39">
        <v>0</v>
      </c>
      <c r="J39">
        <v>2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4.2893123096714503E-2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8.2167854080019698E-2</v>
      </c>
      <c r="U39" s="5">
        <f>IF((ContinuousStatsTable[[#This Row],[RepsRequested]]&gt;1),ContinuousStatsTable[[#This Row],[HalfWidth]],ContinuousStatsTable[[#This Row],[BatchMeansHalfWidth]])</f>
        <v>3.7191130285907097E-3</v>
      </c>
    </row>
    <row r="40" spans="1:21">
      <c r="A40" t="s">
        <v>67</v>
      </c>
      <c r="B40" t="s">
        <v>70</v>
      </c>
      <c r="C40">
        <v>5</v>
      </c>
      <c r="D40" t="s">
        <v>82</v>
      </c>
      <c r="E40" t="s">
        <v>89</v>
      </c>
      <c r="F40" t="s">
        <v>81</v>
      </c>
      <c r="G40">
        <v>2.1638472719126902</v>
      </c>
      <c r="H40">
        <v>3E+20</v>
      </c>
      <c r="I40">
        <v>0</v>
      </c>
      <c r="J40">
        <v>12</v>
      </c>
      <c r="K40">
        <v>5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1.16047720119272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5.0272524622418899</v>
      </c>
      <c r="U40" s="5">
        <f>IF((ContinuousStatsTable[[#This Row],[RepsRequested]]&gt;1),ContinuousStatsTable[[#This Row],[HalfWidth]],ContinuousStatsTable[[#This Row],[BatchMeansHalfWidth]])</f>
        <v>0.29961479841885524</v>
      </c>
    </row>
    <row r="41" spans="1:21">
      <c r="A41" t="s">
        <v>67</v>
      </c>
      <c r="B41" t="s">
        <v>70</v>
      </c>
      <c r="C41">
        <v>5</v>
      </c>
      <c r="D41" t="s">
        <v>90</v>
      </c>
      <c r="E41" t="s">
        <v>91</v>
      </c>
      <c r="F41" t="s">
        <v>92</v>
      </c>
      <c r="G41">
        <v>0.874197408656194</v>
      </c>
      <c r="H41">
        <v>2E+20</v>
      </c>
      <c r="I41">
        <v>0</v>
      </c>
      <c r="J41">
        <v>1</v>
      </c>
      <c r="K41">
        <v>1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0.79563957753275305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0.91388224334429202</v>
      </c>
      <c r="U41" s="5">
        <f>IF((ContinuousStatsTable[[#This Row],[RepsRequested]]&gt;1),ContinuousStatsTable[[#This Row],[HalfWidth]],ContinuousStatsTable[[#This Row],[BatchMeansHalfWidth]])</f>
        <v>1.1109852606791693E-2</v>
      </c>
    </row>
    <row r="42" spans="1:21">
      <c r="A42" t="s">
        <v>67</v>
      </c>
      <c r="B42" t="s">
        <v>70</v>
      </c>
      <c r="C42">
        <v>5</v>
      </c>
      <c r="D42" t="s">
        <v>90</v>
      </c>
      <c r="E42" t="s">
        <v>93</v>
      </c>
      <c r="F42" t="s">
        <v>92</v>
      </c>
      <c r="G42">
        <v>1.74839481731239</v>
      </c>
      <c r="H42">
        <v>2E+20</v>
      </c>
      <c r="I42">
        <v>0</v>
      </c>
      <c r="J42">
        <v>2</v>
      </c>
      <c r="K42">
        <v>2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1.5912791550655101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1.82776448668858</v>
      </c>
      <c r="U42" s="5">
        <f>IF((ContinuousStatsTable[[#This Row],[RepsRequested]]&gt;1),ContinuousStatsTable[[#This Row],[HalfWidth]],ContinuousStatsTable[[#This Row],[BatchMeansHalfWidth]])</f>
        <v>2.2219705213583314E-2</v>
      </c>
    </row>
    <row r="43" spans="1:21">
      <c r="A43" t="s">
        <v>67</v>
      </c>
      <c r="B43" t="s">
        <v>70</v>
      </c>
      <c r="C43">
        <v>5</v>
      </c>
      <c r="D43" t="s">
        <v>90</v>
      </c>
      <c r="E43" t="s">
        <v>94</v>
      </c>
      <c r="F43" t="s">
        <v>92</v>
      </c>
      <c r="G43">
        <v>2</v>
      </c>
      <c r="H43">
        <v>2E+20</v>
      </c>
      <c r="I43">
        <v>2</v>
      </c>
      <c r="J43">
        <v>2</v>
      </c>
      <c r="K43">
        <v>2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2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2</v>
      </c>
      <c r="U43" s="5">
        <f>IF((ContinuousStatsTable[[#This Row],[RepsRequested]]&gt;1),ContinuousStatsTable[[#This Row],[HalfWidth]],ContinuousStatsTable[[#This Row],[BatchMeansHalfWidth]])</f>
        <v>0</v>
      </c>
    </row>
    <row r="44" spans="1:21">
      <c r="A44" t="s">
        <v>67</v>
      </c>
      <c r="B44" t="s">
        <v>70</v>
      </c>
      <c r="C44">
        <v>5</v>
      </c>
      <c r="D44" t="s">
        <v>95</v>
      </c>
      <c r="E44" t="s">
        <v>91</v>
      </c>
      <c r="F44" t="s">
        <v>92</v>
      </c>
      <c r="G44">
        <v>0.69734871834623202</v>
      </c>
      <c r="H44">
        <v>4.0564063340993002E-2</v>
      </c>
      <c r="I44">
        <v>0</v>
      </c>
      <c r="J44">
        <v>1</v>
      </c>
      <c r="K44">
        <v>0.5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0.62568527922134098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0.72090720879040104</v>
      </c>
      <c r="U44" s="5">
        <f>IF((ContinuousStatsTable[[#This Row],[RepsRequested]]&gt;1),ContinuousStatsTable[[#This Row],[HalfWidth]],ContinuousStatsTable[[#This Row],[BatchMeansHalfWidth]])</f>
        <v>9.4948322151438332E-3</v>
      </c>
    </row>
    <row r="45" spans="1:21">
      <c r="A45" t="s">
        <v>67</v>
      </c>
      <c r="B45" t="s">
        <v>70</v>
      </c>
      <c r="C45">
        <v>5</v>
      </c>
      <c r="D45" t="s">
        <v>95</v>
      </c>
      <c r="E45" t="s">
        <v>93</v>
      </c>
      <c r="F45" t="s">
        <v>92</v>
      </c>
      <c r="G45">
        <v>1.39469743669246</v>
      </c>
      <c r="H45">
        <v>8.1128126681985893E-2</v>
      </c>
      <c r="I45">
        <v>0</v>
      </c>
      <c r="J45">
        <v>2</v>
      </c>
      <c r="K45">
        <v>1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1.25137055844268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1.4418144175808001</v>
      </c>
      <c r="U45" s="5">
        <f>IF((ContinuousStatsTable[[#This Row],[RepsRequested]]&gt;1),ContinuousStatsTable[[#This Row],[HalfWidth]],ContinuousStatsTable[[#This Row],[BatchMeansHalfWidth]])</f>
        <v>1.8989664430287469E-2</v>
      </c>
    </row>
    <row r="46" spans="1:21">
      <c r="A46" t="s">
        <v>67</v>
      </c>
      <c r="B46" t="s">
        <v>70</v>
      </c>
      <c r="C46">
        <v>5</v>
      </c>
      <c r="D46" t="s">
        <v>95</v>
      </c>
      <c r="E46" t="s">
        <v>94</v>
      </c>
      <c r="F46" t="s">
        <v>92</v>
      </c>
      <c r="G46">
        <v>2</v>
      </c>
      <c r="H46">
        <v>2E+20</v>
      </c>
      <c r="I46">
        <v>2</v>
      </c>
      <c r="J46">
        <v>2</v>
      </c>
      <c r="K46">
        <v>2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2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2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2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>
      <c r="A47" t="s">
        <v>67</v>
      </c>
      <c r="B47" t="s">
        <v>70</v>
      </c>
      <c r="C47">
        <v>6</v>
      </c>
      <c r="D47" t="s">
        <v>71</v>
      </c>
      <c r="E47" t="s">
        <v>88</v>
      </c>
      <c r="F47" t="s">
        <v>73</v>
      </c>
      <c r="G47">
        <v>4.7267364792017803</v>
      </c>
      <c r="H47">
        <v>3E+20</v>
      </c>
      <c r="I47">
        <v>0</v>
      </c>
      <c r="J47">
        <v>19</v>
      </c>
      <c r="K47">
        <v>9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4.1194471364998897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8.3550459526658596</v>
      </c>
      <c r="U47" s="5">
        <f>IF((ContinuousStatsTable[[#This Row],[RepsRequested]]&gt;1),ContinuousStatsTable[[#This Row],[HalfWidth]],ContinuousStatsTable[[#This Row],[BatchMeansHalfWidth]])</f>
        <v>0.33154533313227752</v>
      </c>
    </row>
    <row r="48" spans="1:21">
      <c r="A48" t="s">
        <v>67</v>
      </c>
      <c r="B48" t="s">
        <v>70</v>
      </c>
      <c r="C48">
        <v>6</v>
      </c>
      <c r="D48" t="s">
        <v>79</v>
      </c>
      <c r="E48" t="s">
        <v>89</v>
      </c>
      <c r="F48" t="s">
        <v>81</v>
      </c>
      <c r="G48">
        <v>5.42113648590015E-2</v>
      </c>
      <c r="H48">
        <v>2E+20</v>
      </c>
      <c r="I48">
        <v>0</v>
      </c>
      <c r="J48">
        <v>2</v>
      </c>
      <c r="K48">
        <v>1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4.2893123096714503E-2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8.2167854080019698E-2</v>
      </c>
      <c r="U48" s="5">
        <f>IF((ContinuousStatsTable[[#This Row],[RepsRequested]]&gt;1),ContinuousStatsTable[[#This Row],[HalfWidth]],ContinuousStatsTable[[#This Row],[BatchMeansHalfWidth]])</f>
        <v>3.7191130285907097E-3</v>
      </c>
    </row>
    <row r="49" spans="1:21">
      <c r="A49" t="s">
        <v>67</v>
      </c>
      <c r="B49" t="s">
        <v>70</v>
      </c>
      <c r="C49">
        <v>6</v>
      </c>
      <c r="D49" t="s">
        <v>82</v>
      </c>
      <c r="E49" t="s">
        <v>89</v>
      </c>
      <c r="F49" t="s">
        <v>81</v>
      </c>
      <c r="G49">
        <v>1.69503669742439</v>
      </c>
      <c r="H49">
        <v>3E+20</v>
      </c>
      <c r="I49">
        <v>0</v>
      </c>
      <c r="J49">
        <v>15</v>
      </c>
      <c r="K49">
        <v>4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1.16047720119272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5.0272524622418899</v>
      </c>
      <c r="U49" s="5">
        <f>IF((ContinuousStatsTable[[#This Row],[RepsRequested]]&gt;1),ContinuousStatsTable[[#This Row],[HalfWidth]],ContinuousStatsTable[[#This Row],[BatchMeansHalfWidth]])</f>
        <v>0.29961479841885524</v>
      </c>
    </row>
    <row r="50" spans="1:21">
      <c r="A50" t="s">
        <v>67</v>
      </c>
      <c r="B50" t="s">
        <v>70</v>
      </c>
      <c r="C50">
        <v>6</v>
      </c>
      <c r="D50" t="s">
        <v>90</v>
      </c>
      <c r="E50" t="s">
        <v>91</v>
      </c>
      <c r="F50" t="s">
        <v>92</v>
      </c>
      <c r="G50">
        <v>0.82845301215893496</v>
      </c>
      <c r="H50">
        <v>5.2045113358273699E-2</v>
      </c>
      <c r="I50">
        <v>0</v>
      </c>
      <c r="J50">
        <v>1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0.79563957753275305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0.91388224334429202</v>
      </c>
      <c r="U50" s="5">
        <f>IF((ContinuousStatsTable[[#This Row],[RepsRequested]]&gt;1),ContinuousStatsTable[[#This Row],[HalfWidth]],ContinuousStatsTable[[#This Row],[BatchMeansHalfWidth]])</f>
        <v>1.1109852606791693E-2</v>
      </c>
    </row>
    <row r="51" spans="1:21">
      <c r="A51" t="s">
        <v>67</v>
      </c>
      <c r="B51" t="s">
        <v>70</v>
      </c>
      <c r="C51">
        <v>6</v>
      </c>
      <c r="D51" t="s">
        <v>90</v>
      </c>
      <c r="E51" t="s">
        <v>93</v>
      </c>
      <c r="F51" t="s">
        <v>92</v>
      </c>
      <c r="G51">
        <v>1.6569060243178699</v>
      </c>
      <c r="H51">
        <v>0.104090226716547</v>
      </c>
      <c r="I51">
        <v>0</v>
      </c>
      <c r="J51">
        <v>2</v>
      </c>
      <c r="K51">
        <v>2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1.5912791550655101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1.82776448668858</v>
      </c>
      <c r="U51" s="5">
        <f>IF((ContinuousStatsTable[[#This Row],[RepsRequested]]&gt;1),ContinuousStatsTable[[#This Row],[HalfWidth]],ContinuousStatsTable[[#This Row],[BatchMeansHalfWidth]])</f>
        <v>2.2219705213583314E-2</v>
      </c>
    </row>
    <row r="52" spans="1:21">
      <c r="A52" t="s">
        <v>67</v>
      </c>
      <c r="B52" t="s">
        <v>70</v>
      </c>
      <c r="C52">
        <v>6</v>
      </c>
      <c r="D52" t="s">
        <v>90</v>
      </c>
      <c r="E52" t="s">
        <v>94</v>
      </c>
      <c r="F52" t="s">
        <v>92</v>
      </c>
      <c r="G52">
        <v>2</v>
      </c>
      <c r="H52">
        <v>2E+20</v>
      </c>
      <c r="I52">
        <v>2</v>
      </c>
      <c r="J52">
        <v>2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2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2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2</v>
      </c>
      <c r="U52" s="5">
        <f>IF((ContinuousStatsTable[[#This Row],[RepsRequested]]&gt;1),ContinuousStatsTable[[#This Row],[HalfWidth]],ContinuousStatsTable[[#This Row],[BatchMeansHalfWidth]])</f>
        <v>0</v>
      </c>
    </row>
    <row r="53" spans="1:21">
      <c r="A53" t="s">
        <v>67</v>
      </c>
      <c r="B53" t="s">
        <v>70</v>
      </c>
      <c r="C53">
        <v>6</v>
      </c>
      <c r="D53" t="s">
        <v>95</v>
      </c>
      <c r="E53" t="s">
        <v>91</v>
      </c>
      <c r="F53" t="s">
        <v>92</v>
      </c>
      <c r="G53">
        <v>0.66029119630026101</v>
      </c>
      <c r="H53">
        <v>3E+20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0.62568527922134098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0.72090720879040104</v>
      </c>
      <c r="U53" s="5">
        <f>IF((ContinuousStatsTable[[#This Row],[RepsRequested]]&gt;1),ContinuousStatsTable[[#This Row],[HalfWidth]],ContinuousStatsTable[[#This Row],[BatchMeansHalfWidth]])</f>
        <v>9.4948322151438332E-3</v>
      </c>
    </row>
    <row r="54" spans="1:21">
      <c r="A54" t="s">
        <v>67</v>
      </c>
      <c r="B54" t="s">
        <v>70</v>
      </c>
      <c r="C54">
        <v>6</v>
      </c>
      <c r="D54" t="s">
        <v>95</v>
      </c>
      <c r="E54" t="s">
        <v>93</v>
      </c>
      <c r="F54" t="s">
        <v>92</v>
      </c>
      <c r="G54">
        <v>1.32058239260052</v>
      </c>
      <c r="H54">
        <v>3E+20</v>
      </c>
      <c r="I54">
        <v>0</v>
      </c>
      <c r="J54">
        <v>2</v>
      </c>
      <c r="K54">
        <v>2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1.25137055844268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1.4418144175808001</v>
      </c>
      <c r="U54" s="5">
        <f>IF((ContinuousStatsTable[[#This Row],[RepsRequested]]&gt;1),ContinuousStatsTable[[#This Row],[HalfWidth]],ContinuousStatsTable[[#This Row],[BatchMeansHalfWidth]])</f>
        <v>1.8989664430287469E-2</v>
      </c>
    </row>
    <row r="55" spans="1:21">
      <c r="A55" t="s">
        <v>67</v>
      </c>
      <c r="B55" t="s">
        <v>70</v>
      </c>
      <c r="C55">
        <v>6</v>
      </c>
      <c r="D55" t="s">
        <v>95</v>
      </c>
      <c r="E55" t="s">
        <v>94</v>
      </c>
      <c r="F55" t="s">
        <v>92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>
      <c r="A56" t="s">
        <v>67</v>
      </c>
      <c r="B56" t="s">
        <v>70</v>
      </c>
      <c r="C56">
        <v>7</v>
      </c>
      <c r="D56" t="s">
        <v>71</v>
      </c>
      <c r="E56" t="s">
        <v>88</v>
      </c>
      <c r="F56" t="s">
        <v>73</v>
      </c>
      <c r="G56">
        <v>5.6217790697070704</v>
      </c>
      <c r="H56">
        <v>3E+20</v>
      </c>
      <c r="I56">
        <v>0</v>
      </c>
      <c r="J56">
        <v>15</v>
      </c>
      <c r="K56">
        <v>6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4.1194471364998897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8.3550459526658596</v>
      </c>
      <c r="U56" s="5">
        <f>IF((ContinuousStatsTable[[#This Row],[RepsRequested]]&gt;1),ContinuousStatsTable[[#This Row],[HalfWidth]],ContinuousStatsTable[[#This Row],[BatchMeansHalfWidth]])</f>
        <v>0.33154533313227752</v>
      </c>
    </row>
    <row r="57" spans="1:21">
      <c r="A57" t="s">
        <v>67</v>
      </c>
      <c r="B57" t="s">
        <v>70</v>
      </c>
      <c r="C57">
        <v>7</v>
      </c>
      <c r="D57" t="s">
        <v>79</v>
      </c>
      <c r="E57" t="s">
        <v>89</v>
      </c>
      <c r="F57" t="s">
        <v>81</v>
      </c>
      <c r="G57">
        <v>6.6345251678186598E-2</v>
      </c>
      <c r="H57">
        <v>1.78341431260024E-2</v>
      </c>
      <c r="I57">
        <v>0</v>
      </c>
      <c r="J57">
        <v>2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4.2893123096714503E-2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8.2167854080019698E-2</v>
      </c>
      <c r="U57" s="5">
        <f>IF((ContinuousStatsTable[[#This Row],[RepsRequested]]&gt;1),ContinuousStatsTable[[#This Row],[HalfWidth]],ContinuousStatsTable[[#This Row],[BatchMeansHalfWidth]])</f>
        <v>3.7191130285907097E-3</v>
      </c>
    </row>
    <row r="58" spans="1:21">
      <c r="A58" t="s">
        <v>67</v>
      </c>
      <c r="B58" t="s">
        <v>70</v>
      </c>
      <c r="C58">
        <v>7</v>
      </c>
      <c r="D58" t="s">
        <v>82</v>
      </c>
      <c r="E58" t="s">
        <v>89</v>
      </c>
      <c r="F58" t="s">
        <v>81</v>
      </c>
      <c r="G58">
        <v>2.3844378602413299</v>
      </c>
      <c r="H58">
        <v>3E+20</v>
      </c>
      <c r="I58">
        <v>0</v>
      </c>
      <c r="J58">
        <v>12</v>
      </c>
      <c r="K58">
        <v>3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1.16047720119272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5.0272524622418899</v>
      </c>
      <c r="U58" s="5">
        <f>IF((ContinuousStatsTable[[#This Row],[RepsRequested]]&gt;1),ContinuousStatsTable[[#This Row],[HalfWidth]],ContinuousStatsTable[[#This Row],[BatchMeansHalfWidth]])</f>
        <v>0.29961479841885524</v>
      </c>
    </row>
    <row r="59" spans="1:21">
      <c r="A59" t="s">
        <v>67</v>
      </c>
      <c r="B59" t="s">
        <v>70</v>
      </c>
      <c r="C59">
        <v>7</v>
      </c>
      <c r="D59" t="s">
        <v>90</v>
      </c>
      <c r="E59" t="s">
        <v>91</v>
      </c>
      <c r="F59" t="s">
        <v>92</v>
      </c>
      <c r="G59">
        <v>0.88220809388613697</v>
      </c>
      <c r="H59">
        <v>2E+20</v>
      </c>
      <c r="I59">
        <v>0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0.79563957753275305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0.91388224334429202</v>
      </c>
      <c r="U59" s="5">
        <f>IF((ContinuousStatsTable[[#This Row],[RepsRequested]]&gt;1),ContinuousStatsTable[[#This Row],[HalfWidth]],ContinuousStatsTable[[#This Row],[BatchMeansHalfWidth]])</f>
        <v>1.1109852606791693E-2</v>
      </c>
    </row>
    <row r="60" spans="1:21">
      <c r="A60" t="s">
        <v>67</v>
      </c>
      <c r="B60" t="s">
        <v>70</v>
      </c>
      <c r="C60">
        <v>7</v>
      </c>
      <c r="D60" t="s">
        <v>90</v>
      </c>
      <c r="E60" t="s">
        <v>93</v>
      </c>
      <c r="F60" t="s">
        <v>92</v>
      </c>
      <c r="G60">
        <v>1.7644161877722699</v>
      </c>
      <c r="H60">
        <v>2E+20</v>
      </c>
      <c r="I60">
        <v>0</v>
      </c>
      <c r="J60">
        <v>2</v>
      </c>
      <c r="K60">
        <v>2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1.5912791550655101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1.82776448668858</v>
      </c>
      <c r="U60" s="5">
        <f>IF((ContinuousStatsTable[[#This Row],[RepsRequested]]&gt;1),ContinuousStatsTable[[#This Row],[HalfWidth]],ContinuousStatsTable[[#This Row],[BatchMeansHalfWidth]])</f>
        <v>2.2219705213583314E-2</v>
      </c>
    </row>
    <row r="61" spans="1:21">
      <c r="A61" t="s">
        <v>67</v>
      </c>
      <c r="B61" t="s">
        <v>70</v>
      </c>
      <c r="C61">
        <v>7</v>
      </c>
      <c r="D61" t="s">
        <v>90</v>
      </c>
      <c r="E61" t="s">
        <v>94</v>
      </c>
      <c r="F61" t="s">
        <v>92</v>
      </c>
      <c r="G61">
        <v>2</v>
      </c>
      <c r="H61">
        <v>2E+20</v>
      </c>
      <c r="I61">
        <v>2</v>
      </c>
      <c r="J61">
        <v>2</v>
      </c>
      <c r="K61">
        <v>2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2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2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2</v>
      </c>
      <c r="U61" s="5">
        <f>IF((ContinuousStatsTable[[#This Row],[RepsRequested]]&gt;1),ContinuousStatsTable[[#This Row],[HalfWidth]],ContinuousStatsTable[[#This Row],[BatchMeansHalfWidth]])</f>
        <v>0</v>
      </c>
    </row>
    <row r="62" spans="1:21">
      <c r="A62" t="s">
        <v>67</v>
      </c>
      <c r="B62" t="s">
        <v>70</v>
      </c>
      <c r="C62">
        <v>7</v>
      </c>
      <c r="D62" t="s">
        <v>95</v>
      </c>
      <c r="E62" t="s">
        <v>91</v>
      </c>
      <c r="F62" t="s">
        <v>92</v>
      </c>
      <c r="G62">
        <v>0.703289885007645</v>
      </c>
      <c r="H62">
        <v>3.7105789424683497E-2</v>
      </c>
      <c r="I62">
        <v>0</v>
      </c>
      <c r="J62">
        <v>1</v>
      </c>
      <c r="K62">
        <v>0.5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0.62568527922134098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0.72090720879040104</v>
      </c>
      <c r="U62" s="5">
        <f>IF((ContinuousStatsTable[[#This Row],[RepsRequested]]&gt;1),ContinuousStatsTable[[#This Row],[HalfWidth]],ContinuousStatsTable[[#This Row],[BatchMeansHalfWidth]])</f>
        <v>9.4948322151438332E-3</v>
      </c>
    </row>
    <row r="63" spans="1:21">
      <c r="A63" t="s">
        <v>67</v>
      </c>
      <c r="B63" t="s">
        <v>70</v>
      </c>
      <c r="C63">
        <v>7</v>
      </c>
      <c r="D63" t="s">
        <v>95</v>
      </c>
      <c r="E63" t="s">
        <v>93</v>
      </c>
      <c r="F63" t="s">
        <v>92</v>
      </c>
      <c r="G63">
        <v>1.40657977001529</v>
      </c>
      <c r="H63">
        <v>7.4211578849367105E-2</v>
      </c>
      <c r="I63">
        <v>0</v>
      </c>
      <c r="J63">
        <v>2</v>
      </c>
      <c r="K63">
        <v>1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1.25137055844268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1.4418144175808001</v>
      </c>
      <c r="U63" s="5">
        <f>IF((ContinuousStatsTable[[#This Row],[RepsRequested]]&gt;1),ContinuousStatsTable[[#This Row],[HalfWidth]],ContinuousStatsTable[[#This Row],[BatchMeansHalfWidth]])</f>
        <v>1.8989664430287469E-2</v>
      </c>
    </row>
    <row r="64" spans="1:21">
      <c r="A64" t="s">
        <v>67</v>
      </c>
      <c r="B64" t="s">
        <v>70</v>
      </c>
      <c r="C64">
        <v>7</v>
      </c>
      <c r="D64" t="s">
        <v>95</v>
      </c>
      <c r="E64" t="s">
        <v>94</v>
      </c>
      <c r="F64" t="s">
        <v>92</v>
      </c>
      <c r="G64">
        <v>2</v>
      </c>
      <c r="H64">
        <v>2E+20</v>
      </c>
      <c r="I64">
        <v>2</v>
      </c>
      <c r="J64">
        <v>2</v>
      </c>
      <c r="K64">
        <v>2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2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2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2</v>
      </c>
      <c r="U64" s="5">
        <f>IF((ContinuousStatsTable[[#This Row],[RepsRequested]]&gt;1),ContinuousStatsTable[[#This Row],[HalfWidth]],ContinuousStatsTable[[#This Row],[BatchMeansHalfWidth]])</f>
        <v>0</v>
      </c>
    </row>
    <row r="65" spans="1:21">
      <c r="A65" t="s">
        <v>67</v>
      </c>
      <c r="B65" t="s">
        <v>70</v>
      </c>
      <c r="C65">
        <v>8</v>
      </c>
      <c r="D65" t="s">
        <v>71</v>
      </c>
      <c r="E65" t="s">
        <v>88</v>
      </c>
      <c r="F65" t="s">
        <v>73</v>
      </c>
      <c r="G65">
        <v>4.8965619089783301</v>
      </c>
      <c r="H65">
        <v>0.92819137056908796</v>
      </c>
      <c r="I65">
        <v>0</v>
      </c>
      <c r="J65">
        <v>15</v>
      </c>
      <c r="K65">
        <v>5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4.1194471364998897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8.3550459526658596</v>
      </c>
      <c r="U65" s="5">
        <f>IF((ContinuousStatsTable[[#This Row],[RepsRequested]]&gt;1),ContinuousStatsTable[[#This Row],[HalfWidth]],ContinuousStatsTable[[#This Row],[BatchMeansHalfWidth]])</f>
        <v>0.33154533313227752</v>
      </c>
    </row>
    <row r="66" spans="1:21">
      <c r="A66" t="s">
        <v>67</v>
      </c>
      <c r="B66" t="s">
        <v>70</v>
      </c>
      <c r="C66">
        <v>8</v>
      </c>
      <c r="D66" t="s">
        <v>79</v>
      </c>
      <c r="E66" t="s">
        <v>89</v>
      </c>
      <c r="F66" t="s">
        <v>81</v>
      </c>
      <c r="G66">
        <v>5.9737500762751097E-2</v>
      </c>
      <c r="H66">
        <v>2E+20</v>
      </c>
      <c r="I66">
        <v>0</v>
      </c>
      <c r="J66">
        <v>2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4.2893123096714503E-2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8.2167854080019698E-2</v>
      </c>
      <c r="U66" s="5">
        <f>IF((ContinuousStatsTable[[#This Row],[RepsRequested]]&gt;1),ContinuousStatsTable[[#This Row],[HalfWidth]],ContinuousStatsTable[[#This Row],[BatchMeansHalfWidth]])</f>
        <v>3.7191130285907097E-3</v>
      </c>
    </row>
    <row r="67" spans="1:21">
      <c r="A67" t="s">
        <v>67</v>
      </c>
      <c r="B67" t="s">
        <v>70</v>
      </c>
      <c r="C67">
        <v>8</v>
      </c>
      <c r="D67" t="s">
        <v>82</v>
      </c>
      <c r="E67" t="s">
        <v>89</v>
      </c>
      <c r="F67" t="s">
        <v>81</v>
      </c>
      <c r="G67">
        <v>1.8663336849899901</v>
      </c>
      <c r="H67">
        <v>0.75314608942470496</v>
      </c>
      <c r="I67">
        <v>0</v>
      </c>
      <c r="J67">
        <v>11</v>
      </c>
      <c r="K67">
        <v>1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1.16047720119272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5.0272524622418899</v>
      </c>
      <c r="U67" s="5">
        <f>IF((ContinuousStatsTable[[#This Row],[RepsRequested]]&gt;1),ContinuousStatsTable[[#This Row],[HalfWidth]],ContinuousStatsTable[[#This Row],[BatchMeansHalfWidth]])</f>
        <v>0.29961479841885524</v>
      </c>
    </row>
    <row r="68" spans="1:21">
      <c r="A68" t="s">
        <v>67</v>
      </c>
      <c r="B68" t="s">
        <v>70</v>
      </c>
      <c r="C68">
        <v>8</v>
      </c>
      <c r="D68" t="s">
        <v>90</v>
      </c>
      <c r="E68" t="s">
        <v>91</v>
      </c>
      <c r="F68" t="s">
        <v>92</v>
      </c>
      <c r="G68">
        <v>0.83360755632975403</v>
      </c>
      <c r="H68">
        <v>2E+20</v>
      </c>
      <c r="I68">
        <v>0</v>
      </c>
      <c r="J68">
        <v>1</v>
      </c>
      <c r="K68">
        <v>1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0.79563957753275305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0.91388224334429202</v>
      </c>
      <c r="U68" s="5">
        <f>IF((ContinuousStatsTable[[#This Row],[RepsRequested]]&gt;1),ContinuousStatsTable[[#This Row],[HalfWidth]],ContinuousStatsTable[[#This Row],[BatchMeansHalfWidth]])</f>
        <v>1.1109852606791693E-2</v>
      </c>
    </row>
    <row r="69" spans="1:21">
      <c r="A69" t="s">
        <v>67</v>
      </c>
      <c r="B69" t="s">
        <v>70</v>
      </c>
      <c r="C69">
        <v>8</v>
      </c>
      <c r="D69" t="s">
        <v>90</v>
      </c>
      <c r="E69" t="s">
        <v>93</v>
      </c>
      <c r="F69" t="s">
        <v>92</v>
      </c>
      <c r="G69">
        <v>1.6672151126595101</v>
      </c>
      <c r="H69">
        <v>2E+20</v>
      </c>
      <c r="I69">
        <v>0</v>
      </c>
      <c r="J69">
        <v>2</v>
      </c>
      <c r="K69">
        <v>2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1.5912791550655101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1.82776448668858</v>
      </c>
      <c r="U69" s="5">
        <f>IF((ContinuousStatsTable[[#This Row],[RepsRequested]]&gt;1),ContinuousStatsTable[[#This Row],[HalfWidth]],ContinuousStatsTable[[#This Row],[BatchMeansHalfWidth]])</f>
        <v>2.2219705213583314E-2</v>
      </c>
    </row>
    <row r="70" spans="1:21">
      <c r="A70" t="s">
        <v>67</v>
      </c>
      <c r="B70" t="s">
        <v>70</v>
      </c>
      <c r="C70">
        <v>8</v>
      </c>
      <c r="D70" t="s">
        <v>90</v>
      </c>
      <c r="E70" t="s">
        <v>94</v>
      </c>
      <c r="F70" t="s">
        <v>92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>
      <c r="A71" t="s">
        <v>67</v>
      </c>
      <c r="B71" t="s">
        <v>70</v>
      </c>
      <c r="C71">
        <v>8</v>
      </c>
      <c r="D71" t="s">
        <v>95</v>
      </c>
      <c r="E71" t="s">
        <v>91</v>
      </c>
      <c r="F71" t="s">
        <v>92</v>
      </c>
      <c r="G71">
        <v>0.65163780528303905</v>
      </c>
      <c r="H71">
        <v>3E+20</v>
      </c>
      <c r="I71">
        <v>0</v>
      </c>
      <c r="J71">
        <v>1</v>
      </c>
      <c r="K71">
        <v>1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0.62568527922134098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0.72090720879040104</v>
      </c>
      <c r="U71" s="5">
        <f>IF((ContinuousStatsTable[[#This Row],[RepsRequested]]&gt;1),ContinuousStatsTable[[#This Row],[HalfWidth]],ContinuousStatsTable[[#This Row],[BatchMeansHalfWidth]])</f>
        <v>9.4948322151438332E-3</v>
      </c>
    </row>
    <row r="72" spans="1:21">
      <c r="A72" t="s">
        <v>67</v>
      </c>
      <c r="B72" t="s">
        <v>70</v>
      </c>
      <c r="C72">
        <v>8</v>
      </c>
      <c r="D72" t="s">
        <v>95</v>
      </c>
      <c r="E72" t="s">
        <v>93</v>
      </c>
      <c r="F72" t="s">
        <v>92</v>
      </c>
      <c r="G72">
        <v>1.3032756105660801</v>
      </c>
      <c r="H72">
        <v>3E+20</v>
      </c>
      <c r="I72">
        <v>0</v>
      </c>
      <c r="J72">
        <v>2</v>
      </c>
      <c r="K72">
        <v>2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1.25137055844268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1.4418144175808001</v>
      </c>
      <c r="U72" s="5">
        <f>IF((ContinuousStatsTable[[#This Row],[RepsRequested]]&gt;1),ContinuousStatsTable[[#This Row],[HalfWidth]],ContinuousStatsTable[[#This Row],[BatchMeansHalfWidth]])</f>
        <v>1.8989664430287469E-2</v>
      </c>
    </row>
    <row r="73" spans="1:21">
      <c r="A73" t="s">
        <v>67</v>
      </c>
      <c r="B73" t="s">
        <v>70</v>
      </c>
      <c r="C73">
        <v>8</v>
      </c>
      <c r="D73" t="s">
        <v>95</v>
      </c>
      <c r="E73" t="s">
        <v>94</v>
      </c>
      <c r="F73" t="s">
        <v>92</v>
      </c>
      <c r="G73">
        <v>2</v>
      </c>
      <c r="H73">
        <v>2E+20</v>
      </c>
      <c r="I73">
        <v>2</v>
      </c>
      <c r="J73">
        <v>2</v>
      </c>
      <c r="K73">
        <v>2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2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2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2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>
      <c r="A74" t="s">
        <v>67</v>
      </c>
      <c r="B74" t="s">
        <v>70</v>
      </c>
      <c r="C74">
        <v>9</v>
      </c>
      <c r="D74" t="s">
        <v>71</v>
      </c>
      <c r="E74" t="s">
        <v>88</v>
      </c>
      <c r="F74" t="s">
        <v>73</v>
      </c>
      <c r="G74">
        <v>4.2400177466907403</v>
      </c>
      <c r="H74">
        <v>3E+20</v>
      </c>
      <c r="I74">
        <v>0</v>
      </c>
      <c r="J74">
        <v>12</v>
      </c>
      <c r="K74">
        <v>8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4.1194471364998897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8.3550459526658596</v>
      </c>
      <c r="U74" s="5">
        <f>IF((ContinuousStatsTable[[#This Row],[RepsRequested]]&gt;1),ContinuousStatsTable[[#This Row],[HalfWidth]],ContinuousStatsTable[[#This Row],[BatchMeansHalfWidth]])</f>
        <v>0.33154533313227752</v>
      </c>
    </row>
    <row r="75" spans="1:21">
      <c r="A75" t="s">
        <v>67</v>
      </c>
      <c r="B75" t="s">
        <v>70</v>
      </c>
      <c r="C75">
        <v>9</v>
      </c>
      <c r="D75" t="s">
        <v>79</v>
      </c>
      <c r="E75" t="s">
        <v>89</v>
      </c>
      <c r="F75" t="s">
        <v>81</v>
      </c>
      <c r="G75">
        <v>4.2893123096714503E-2</v>
      </c>
      <c r="H75">
        <v>2E+20</v>
      </c>
      <c r="I75">
        <v>0</v>
      </c>
      <c r="J75">
        <v>2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4.2893123096714503E-2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8.2167854080019698E-2</v>
      </c>
      <c r="U75" s="5">
        <f>IF((ContinuousStatsTable[[#This Row],[RepsRequested]]&gt;1),ContinuousStatsTable[[#This Row],[HalfWidth]],ContinuousStatsTable[[#This Row],[BatchMeansHalfWidth]])</f>
        <v>3.7191130285907097E-3</v>
      </c>
    </row>
    <row r="76" spans="1:21">
      <c r="A76" t="s">
        <v>67</v>
      </c>
      <c r="B76" t="s">
        <v>70</v>
      </c>
      <c r="C76">
        <v>9</v>
      </c>
      <c r="D76" t="s">
        <v>82</v>
      </c>
      <c r="E76" t="s">
        <v>89</v>
      </c>
      <c r="F76" t="s">
        <v>81</v>
      </c>
      <c r="G76">
        <v>1.2665107747919899</v>
      </c>
      <c r="H76">
        <v>3E+20</v>
      </c>
      <c r="I76">
        <v>0</v>
      </c>
      <c r="J76">
        <v>9</v>
      </c>
      <c r="K76">
        <v>5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1.16047720119272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5.0272524622418899</v>
      </c>
      <c r="U76" s="5">
        <f>IF((ContinuousStatsTable[[#This Row],[RepsRequested]]&gt;1),ContinuousStatsTable[[#This Row],[HalfWidth]],ContinuousStatsTable[[#This Row],[BatchMeansHalfWidth]])</f>
        <v>0.29961479841885524</v>
      </c>
    </row>
    <row r="77" spans="1:21">
      <c r="A77" t="s">
        <v>67</v>
      </c>
      <c r="B77" t="s">
        <v>70</v>
      </c>
      <c r="C77">
        <v>9</v>
      </c>
      <c r="D77" t="s">
        <v>90</v>
      </c>
      <c r="E77" t="s">
        <v>91</v>
      </c>
      <c r="F77" t="s">
        <v>92</v>
      </c>
      <c r="G77">
        <v>0.81788257588493096</v>
      </c>
      <c r="H77">
        <v>3E+20</v>
      </c>
      <c r="I77">
        <v>0</v>
      </c>
      <c r="J77">
        <v>1</v>
      </c>
      <c r="K77">
        <v>1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0.79563957753275305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0.91388224334429202</v>
      </c>
      <c r="U77" s="5">
        <f>IF((ContinuousStatsTable[[#This Row],[RepsRequested]]&gt;1),ContinuousStatsTable[[#This Row],[HalfWidth]],ContinuousStatsTable[[#This Row],[BatchMeansHalfWidth]])</f>
        <v>1.1109852606791693E-2</v>
      </c>
    </row>
    <row r="78" spans="1:21">
      <c r="A78" t="s">
        <v>67</v>
      </c>
      <c r="B78" t="s">
        <v>70</v>
      </c>
      <c r="C78">
        <v>9</v>
      </c>
      <c r="D78" t="s">
        <v>90</v>
      </c>
      <c r="E78" t="s">
        <v>93</v>
      </c>
      <c r="F78" t="s">
        <v>92</v>
      </c>
      <c r="G78">
        <v>1.6357651517698599</v>
      </c>
      <c r="H78">
        <v>3E+20</v>
      </c>
      <c r="I78">
        <v>0</v>
      </c>
      <c r="J78">
        <v>2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1.5912791550655101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1.82776448668858</v>
      </c>
      <c r="U78" s="5">
        <f>IF((ContinuousStatsTable[[#This Row],[RepsRequested]]&gt;1),ContinuousStatsTable[[#This Row],[HalfWidth]],ContinuousStatsTable[[#This Row],[BatchMeansHalfWidth]])</f>
        <v>2.2219705213583314E-2</v>
      </c>
    </row>
    <row r="79" spans="1:21">
      <c r="A79" t="s">
        <v>67</v>
      </c>
      <c r="B79" t="s">
        <v>70</v>
      </c>
      <c r="C79">
        <v>9</v>
      </c>
      <c r="D79" t="s">
        <v>90</v>
      </c>
      <c r="E79" t="s">
        <v>94</v>
      </c>
      <c r="F79" t="s">
        <v>92</v>
      </c>
      <c r="G79">
        <v>2</v>
      </c>
      <c r="H79">
        <v>2E+20</v>
      </c>
      <c r="I79">
        <v>2</v>
      </c>
      <c r="J79">
        <v>2</v>
      </c>
      <c r="K79">
        <v>2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2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2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2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>
      <c r="A80" t="s">
        <v>67</v>
      </c>
      <c r="B80" t="s">
        <v>70</v>
      </c>
      <c r="C80">
        <v>9</v>
      </c>
      <c r="D80" t="s">
        <v>95</v>
      </c>
      <c r="E80" t="s">
        <v>91</v>
      </c>
      <c r="F80" t="s">
        <v>92</v>
      </c>
      <c r="G80">
        <v>0.64742434851608399</v>
      </c>
      <c r="H80">
        <v>3.8351488430835301E-2</v>
      </c>
      <c r="I80">
        <v>0</v>
      </c>
      <c r="J80">
        <v>1</v>
      </c>
      <c r="K80">
        <v>0.5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0.62568527922134098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0.72090720879040104</v>
      </c>
      <c r="U80" s="5">
        <f>IF((ContinuousStatsTable[[#This Row],[RepsRequested]]&gt;1),ContinuousStatsTable[[#This Row],[HalfWidth]],ContinuousStatsTable[[#This Row],[BatchMeansHalfWidth]])</f>
        <v>9.4948322151438332E-3</v>
      </c>
    </row>
    <row r="81" spans="1:21">
      <c r="A81" t="s">
        <v>67</v>
      </c>
      <c r="B81" t="s">
        <v>70</v>
      </c>
      <c r="C81">
        <v>9</v>
      </c>
      <c r="D81" t="s">
        <v>95</v>
      </c>
      <c r="E81" t="s">
        <v>93</v>
      </c>
      <c r="F81" t="s">
        <v>92</v>
      </c>
      <c r="G81">
        <v>1.29484869703217</v>
      </c>
      <c r="H81">
        <v>7.6702976861670699E-2</v>
      </c>
      <c r="I81">
        <v>0</v>
      </c>
      <c r="J81">
        <v>2</v>
      </c>
      <c r="K81">
        <v>1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1.25137055844268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1.4418144175808001</v>
      </c>
      <c r="U81" s="5">
        <f>IF((ContinuousStatsTable[[#This Row],[RepsRequested]]&gt;1),ContinuousStatsTable[[#This Row],[HalfWidth]],ContinuousStatsTable[[#This Row],[BatchMeansHalfWidth]])</f>
        <v>1.8989664430287469E-2</v>
      </c>
    </row>
    <row r="82" spans="1:21">
      <c r="A82" t="s">
        <v>67</v>
      </c>
      <c r="B82" t="s">
        <v>70</v>
      </c>
      <c r="C82">
        <v>9</v>
      </c>
      <c r="D82" t="s">
        <v>95</v>
      </c>
      <c r="E82" t="s">
        <v>94</v>
      </c>
      <c r="F82" t="s">
        <v>92</v>
      </c>
      <c r="G82">
        <v>2</v>
      </c>
      <c r="H82">
        <v>2E+20</v>
      </c>
      <c r="I82">
        <v>2</v>
      </c>
      <c r="J82">
        <v>2</v>
      </c>
      <c r="K82">
        <v>2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2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2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2</v>
      </c>
      <c r="U82" s="5">
        <f>IF((ContinuousStatsTable[[#This Row],[RepsRequested]]&gt;1),ContinuousStatsTable[[#This Row],[HalfWidth]],ContinuousStatsTable[[#This Row],[BatchMeansHalfWidth]])</f>
        <v>0</v>
      </c>
    </row>
    <row r="83" spans="1:21">
      <c r="A83" t="s">
        <v>67</v>
      </c>
      <c r="B83" t="s">
        <v>70</v>
      </c>
      <c r="C83">
        <v>10</v>
      </c>
      <c r="D83" t="s">
        <v>71</v>
      </c>
      <c r="E83" t="s">
        <v>88</v>
      </c>
      <c r="F83" t="s">
        <v>73</v>
      </c>
      <c r="G83">
        <v>4.3581932828862202</v>
      </c>
      <c r="H83">
        <v>0.52807643027737305</v>
      </c>
      <c r="I83">
        <v>0</v>
      </c>
      <c r="J83">
        <v>12</v>
      </c>
      <c r="K83">
        <v>5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4.1194471364998897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8.3550459526658596</v>
      </c>
      <c r="U83" s="5">
        <f>IF((ContinuousStatsTable[[#This Row],[RepsRequested]]&gt;1),ContinuousStatsTable[[#This Row],[HalfWidth]],ContinuousStatsTable[[#This Row],[BatchMeansHalfWidth]])</f>
        <v>0.33154533313227752</v>
      </c>
    </row>
    <row r="84" spans="1:21">
      <c r="A84" t="s">
        <v>67</v>
      </c>
      <c r="B84" t="s">
        <v>70</v>
      </c>
      <c r="C84">
        <v>10</v>
      </c>
      <c r="D84" t="s">
        <v>79</v>
      </c>
      <c r="E84" t="s">
        <v>89</v>
      </c>
      <c r="F84" t="s">
        <v>81</v>
      </c>
      <c r="G84">
        <v>6.4690020291511205E-2</v>
      </c>
      <c r="H84">
        <v>2E+20</v>
      </c>
      <c r="I84">
        <v>0</v>
      </c>
      <c r="J84">
        <v>2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4.2893123096714503E-2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8.2167854080019698E-2</v>
      </c>
      <c r="U84" s="5">
        <f>IF((ContinuousStatsTable[[#This Row],[RepsRequested]]&gt;1),ContinuousStatsTable[[#This Row],[HalfWidth]],ContinuousStatsTable[[#This Row],[BatchMeansHalfWidth]])</f>
        <v>3.7191130285907097E-3</v>
      </c>
    </row>
    <row r="85" spans="1:21">
      <c r="A85" t="s">
        <v>67</v>
      </c>
      <c r="B85" t="s">
        <v>70</v>
      </c>
      <c r="C85">
        <v>10</v>
      </c>
      <c r="D85" t="s">
        <v>82</v>
      </c>
      <c r="E85" t="s">
        <v>89</v>
      </c>
      <c r="F85" t="s">
        <v>81</v>
      </c>
      <c r="G85">
        <v>1.2616534945318501</v>
      </c>
      <c r="H85">
        <v>0.41878716839972902</v>
      </c>
      <c r="I85">
        <v>0</v>
      </c>
      <c r="J85">
        <v>8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1.16047720119272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5.0272524622418899</v>
      </c>
      <c r="U85" s="5">
        <f>IF((ContinuousStatsTable[[#This Row],[RepsRequested]]&gt;1),ContinuousStatsTable[[#This Row],[HalfWidth]],ContinuousStatsTable[[#This Row],[BatchMeansHalfWidth]])</f>
        <v>0.29961479841885524</v>
      </c>
    </row>
    <row r="86" spans="1:21">
      <c r="A86" t="s">
        <v>67</v>
      </c>
      <c r="B86" t="s">
        <v>70</v>
      </c>
      <c r="C86">
        <v>10</v>
      </c>
      <c r="D86" t="s">
        <v>90</v>
      </c>
      <c r="E86" t="s">
        <v>91</v>
      </c>
      <c r="F86" t="s">
        <v>92</v>
      </c>
      <c r="G86">
        <v>0.84151042192898695</v>
      </c>
      <c r="H86">
        <v>4.0450976675783297E-2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0.79563957753275305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0.91388224334429202</v>
      </c>
      <c r="U86" s="5">
        <f>IF((ContinuousStatsTable[[#This Row],[RepsRequested]]&gt;1),ContinuousStatsTable[[#This Row],[HalfWidth]],ContinuousStatsTable[[#This Row],[BatchMeansHalfWidth]])</f>
        <v>1.1109852606791693E-2</v>
      </c>
    </row>
    <row r="87" spans="1:21">
      <c r="A87" t="s">
        <v>67</v>
      </c>
      <c r="B87" t="s">
        <v>70</v>
      </c>
      <c r="C87">
        <v>10</v>
      </c>
      <c r="D87" t="s">
        <v>90</v>
      </c>
      <c r="E87" t="s">
        <v>93</v>
      </c>
      <c r="F87" t="s">
        <v>92</v>
      </c>
      <c r="G87">
        <v>1.6830208438579699</v>
      </c>
      <c r="H87">
        <v>8.0901953351566497E-2</v>
      </c>
      <c r="I87">
        <v>0</v>
      </c>
      <c r="J87">
        <v>2</v>
      </c>
      <c r="K87">
        <v>2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1.5912791550655101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1.82776448668858</v>
      </c>
      <c r="U87" s="5">
        <f>IF((ContinuousStatsTable[[#This Row],[RepsRequested]]&gt;1),ContinuousStatsTable[[#This Row],[HalfWidth]],ContinuousStatsTable[[#This Row],[BatchMeansHalfWidth]])</f>
        <v>2.2219705213583314E-2</v>
      </c>
    </row>
    <row r="88" spans="1:21">
      <c r="A88" t="s">
        <v>67</v>
      </c>
      <c r="B88" t="s">
        <v>70</v>
      </c>
      <c r="C88">
        <v>10</v>
      </c>
      <c r="D88" t="s">
        <v>90</v>
      </c>
      <c r="E88" t="s">
        <v>94</v>
      </c>
      <c r="F88" t="s">
        <v>92</v>
      </c>
      <c r="G88">
        <v>2</v>
      </c>
      <c r="H88">
        <v>2E+20</v>
      </c>
      <c r="I88">
        <v>2</v>
      </c>
      <c r="J88">
        <v>2</v>
      </c>
      <c r="K88">
        <v>2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2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2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2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>
      <c r="A89" t="s">
        <v>67</v>
      </c>
      <c r="B89" t="s">
        <v>70</v>
      </c>
      <c r="C89">
        <v>10</v>
      </c>
      <c r="D89" t="s">
        <v>95</v>
      </c>
      <c r="E89" t="s">
        <v>91</v>
      </c>
      <c r="F89" t="s">
        <v>92</v>
      </c>
      <c r="G89">
        <v>0.67441446210244305</v>
      </c>
      <c r="H89">
        <v>3.4032269898309798E-2</v>
      </c>
      <c r="I89">
        <v>0</v>
      </c>
      <c r="J89">
        <v>1</v>
      </c>
      <c r="K89">
        <v>1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0.62568527922134098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0.72090720879040104</v>
      </c>
      <c r="U89" s="5">
        <f>IF((ContinuousStatsTable[[#This Row],[RepsRequested]]&gt;1),ContinuousStatsTable[[#This Row],[HalfWidth]],ContinuousStatsTable[[#This Row],[BatchMeansHalfWidth]])</f>
        <v>9.4948322151438332E-3</v>
      </c>
    </row>
    <row r="90" spans="1:21">
      <c r="A90" t="s">
        <v>67</v>
      </c>
      <c r="B90" t="s">
        <v>70</v>
      </c>
      <c r="C90">
        <v>10</v>
      </c>
      <c r="D90" t="s">
        <v>95</v>
      </c>
      <c r="E90" t="s">
        <v>93</v>
      </c>
      <c r="F90" t="s">
        <v>92</v>
      </c>
      <c r="G90">
        <v>1.3488289242048901</v>
      </c>
      <c r="H90">
        <v>6.8064539796619597E-2</v>
      </c>
      <c r="I90">
        <v>0</v>
      </c>
      <c r="J90">
        <v>2</v>
      </c>
      <c r="K90">
        <v>2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1.25137055844268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1.4418144175808001</v>
      </c>
      <c r="U90" s="5">
        <f>IF((ContinuousStatsTable[[#This Row],[RepsRequested]]&gt;1),ContinuousStatsTable[[#This Row],[HalfWidth]],ContinuousStatsTable[[#This Row],[BatchMeansHalfWidth]])</f>
        <v>1.8989664430287469E-2</v>
      </c>
    </row>
    <row r="91" spans="1:21">
      <c r="A91" t="s">
        <v>67</v>
      </c>
      <c r="B91" t="s">
        <v>70</v>
      </c>
      <c r="C91">
        <v>10</v>
      </c>
      <c r="D91" t="s">
        <v>95</v>
      </c>
      <c r="E91" t="s">
        <v>94</v>
      </c>
      <c r="F91" t="s">
        <v>92</v>
      </c>
      <c r="G91">
        <v>2</v>
      </c>
      <c r="H91">
        <v>2E+20</v>
      </c>
      <c r="I91">
        <v>2</v>
      </c>
      <c r="J91">
        <v>2</v>
      </c>
      <c r="K91">
        <v>2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2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2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2</v>
      </c>
      <c r="U91" s="5">
        <f>IF((ContinuousStatsTable[[#This Row],[RepsRequested]]&gt;1),ContinuousStatsTable[[#This Row],[HalfWidth]],ContinuousStatsTable[[#This Row],[BatchMeansHalfWidth]])</f>
        <v>0</v>
      </c>
    </row>
    <row r="92" spans="1:21">
      <c r="A92" t="s">
        <v>67</v>
      </c>
      <c r="B92" t="s">
        <v>70</v>
      </c>
      <c r="C92">
        <v>11</v>
      </c>
      <c r="D92" t="s">
        <v>71</v>
      </c>
      <c r="E92" t="s">
        <v>88</v>
      </c>
      <c r="F92" t="s">
        <v>73</v>
      </c>
      <c r="G92">
        <v>5.7720503892770196</v>
      </c>
      <c r="H92">
        <v>3E+20</v>
      </c>
      <c r="I92">
        <v>0</v>
      </c>
      <c r="J92">
        <v>21</v>
      </c>
      <c r="K92">
        <v>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4.1194471364998897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8.3550459526658596</v>
      </c>
      <c r="U92" s="5">
        <f>IF((ContinuousStatsTable[[#This Row],[RepsRequested]]&gt;1),ContinuousStatsTable[[#This Row],[HalfWidth]],ContinuousStatsTable[[#This Row],[BatchMeansHalfWidth]])</f>
        <v>0.33154533313227752</v>
      </c>
    </row>
    <row r="93" spans="1:21">
      <c r="A93" t="s">
        <v>67</v>
      </c>
      <c r="B93" t="s">
        <v>70</v>
      </c>
      <c r="C93">
        <v>11</v>
      </c>
      <c r="D93" t="s">
        <v>79</v>
      </c>
      <c r="E93" t="s">
        <v>89</v>
      </c>
      <c r="F93" t="s">
        <v>81</v>
      </c>
      <c r="G93">
        <v>6.7501827890272204E-2</v>
      </c>
      <c r="H93">
        <v>1.9938658883248299E-2</v>
      </c>
      <c r="I93">
        <v>0</v>
      </c>
      <c r="J93">
        <v>2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4.2893123096714503E-2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8.2167854080019698E-2</v>
      </c>
      <c r="U93" s="5">
        <f>IF((ContinuousStatsTable[[#This Row],[RepsRequested]]&gt;1),ContinuousStatsTable[[#This Row],[HalfWidth]],ContinuousStatsTable[[#This Row],[BatchMeansHalfWidth]])</f>
        <v>3.7191130285907097E-3</v>
      </c>
    </row>
    <row r="94" spans="1:21">
      <c r="A94" t="s">
        <v>67</v>
      </c>
      <c r="B94" t="s">
        <v>70</v>
      </c>
      <c r="C94">
        <v>11</v>
      </c>
      <c r="D94" t="s">
        <v>82</v>
      </c>
      <c r="E94" t="s">
        <v>89</v>
      </c>
      <c r="F94" t="s">
        <v>81</v>
      </c>
      <c r="G94">
        <v>2.6669390029034199</v>
      </c>
      <c r="H94">
        <v>3E+20</v>
      </c>
      <c r="I94">
        <v>0</v>
      </c>
      <c r="J94">
        <v>18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1.16047720119272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5.0272524622418899</v>
      </c>
      <c r="U94" s="5">
        <f>IF((ContinuousStatsTable[[#This Row],[RepsRequested]]&gt;1),ContinuousStatsTable[[#This Row],[HalfWidth]],ContinuousStatsTable[[#This Row],[BatchMeansHalfWidth]])</f>
        <v>0.29961479841885524</v>
      </c>
    </row>
    <row r="95" spans="1:21">
      <c r="A95" t="s">
        <v>67</v>
      </c>
      <c r="B95" t="s">
        <v>70</v>
      </c>
      <c r="C95">
        <v>11</v>
      </c>
      <c r="D95" t="s">
        <v>90</v>
      </c>
      <c r="E95" t="s">
        <v>91</v>
      </c>
      <c r="F95" t="s">
        <v>92</v>
      </c>
      <c r="G95">
        <v>0.83892969632854997</v>
      </c>
      <c r="H95">
        <v>2E+20</v>
      </c>
      <c r="I95">
        <v>0</v>
      </c>
      <c r="J95">
        <v>1</v>
      </c>
      <c r="K95">
        <v>0.5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0.79563957753275305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0.91388224334429202</v>
      </c>
      <c r="U95" s="5">
        <f>IF((ContinuousStatsTable[[#This Row],[RepsRequested]]&gt;1),ContinuousStatsTable[[#This Row],[HalfWidth]],ContinuousStatsTable[[#This Row],[BatchMeansHalfWidth]])</f>
        <v>1.1109852606791693E-2</v>
      </c>
    </row>
    <row r="96" spans="1:21">
      <c r="A96" t="s">
        <v>67</v>
      </c>
      <c r="B96" t="s">
        <v>70</v>
      </c>
      <c r="C96">
        <v>11</v>
      </c>
      <c r="D96" t="s">
        <v>90</v>
      </c>
      <c r="E96" t="s">
        <v>93</v>
      </c>
      <c r="F96" t="s">
        <v>92</v>
      </c>
      <c r="G96">
        <v>1.6778593926570999</v>
      </c>
      <c r="H96">
        <v>2E+20</v>
      </c>
      <c r="I96">
        <v>0</v>
      </c>
      <c r="J96">
        <v>2</v>
      </c>
      <c r="K96">
        <v>1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1.5912791550655101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1.82776448668858</v>
      </c>
      <c r="U96" s="5">
        <f>IF((ContinuousStatsTable[[#This Row],[RepsRequested]]&gt;1),ContinuousStatsTable[[#This Row],[HalfWidth]],ContinuousStatsTable[[#This Row],[BatchMeansHalfWidth]])</f>
        <v>2.2219705213583314E-2</v>
      </c>
    </row>
    <row r="97" spans="1:21">
      <c r="A97" t="s">
        <v>67</v>
      </c>
      <c r="B97" t="s">
        <v>70</v>
      </c>
      <c r="C97">
        <v>11</v>
      </c>
      <c r="D97" t="s">
        <v>90</v>
      </c>
      <c r="E97" t="s">
        <v>94</v>
      </c>
      <c r="F97" t="s">
        <v>92</v>
      </c>
      <c r="G97">
        <v>2</v>
      </c>
      <c r="H97">
        <v>2E+20</v>
      </c>
      <c r="I97">
        <v>2</v>
      </c>
      <c r="J97">
        <v>2</v>
      </c>
      <c r="K97">
        <v>2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2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2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2</v>
      </c>
      <c r="U97" s="5">
        <f>IF((ContinuousStatsTable[[#This Row],[RepsRequested]]&gt;1),ContinuousStatsTable[[#This Row],[HalfWidth]],ContinuousStatsTable[[#This Row],[BatchMeansHalfWidth]])</f>
        <v>0</v>
      </c>
    </row>
    <row r="98" spans="1:21">
      <c r="A98" t="s">
        <v>67</v>
      </c>
      <c r="B98" t="s">
        <v>70</v>
      </c>
      <c r="C98">
        <v>11</v>
      </c>
      <c r="D98" t="s">
        <v>95</v>
      </c>
      <c r="E98" t="s">
        <v>91</v>
      </c>
      <c r="F98" t="s">
        <v>92</v>
      </c>
      <c r="G98">
        <v>0.67987508291311505</v>
      </c>
      <c r="H98">
        <v>4.5954439960372399E-2</v>
      </c>
      <c r="I98">
        <v>0</v>
      </c>
      <c r="J98">
        <v>1</v>
      </c>
      <c r="K98">
        <v>0.5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0.62568527922134098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0.72090720879040104</v>
      </c>
      <c r="U98" s="5">
        <f>IF((ContinuousStatsTable[[#This Row],[RepsRequested]]&gt;1),ContinuousStatsTable[[#This Row],[HalfWidth]],ContinuousStatsTable[[#This Row],[BatchMeansHalfWidth]])</f>
        <v>9.4948322151438332E-3</v>
      </c>
    </row>
    <row r="99" spans="1:21">
      <c r="A99" t="s">
        <v>67</v>
      </c>
      <c r="B99" t="s">
        <v>70</v>
      </c>
      <c r="C99">
        <v>11</v>
      </c>
      <c r="D99" t="s">
        <v>95</v>
      </c>
      <c r="E99" t="s">
        <v>93</v>
      </c>
      <c r="F99" t="s">
        <v>92</v>
      </c>
      <c r="G99">
        <v>1.3597501658262301</v>
      </c>
      <c r="H99">
        <v>9.1908879920744799E-2</v>
      </c>
      <c r="I99">
        <v>0</v>
      </c>
      <c r="J99">
        <v>2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1.25137055844268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1.4418144175808001</v>
      </c>
      <c r="U99" s="5">
        <f>IF((ContinuousStatsTable[[#This Row],[RepsRequested]]&gt;1),ContinuousStatsTable[[#This Row],[HalfWidth]],ContinuousStatsTable[[#This Row],[BatchMeansHalfWidth]])</f>
        <v>1.8989664430287469E-2</v>
      </c>
    </row>
    <row r="100" spans="1:21">
      <c r="A100" t="s">
        <v>67</v>
      </c>
      <c r="B100" t="s">
        <v>70</v>
      </c>
      <c r="C100">
        <v>11</v>
      </c>
      <c r="D100" t="s">
        <v>95</v>
      </c>
      <c r="E100" t="s">
        <v>94</v>
      </c>
      <c r="F100" t="s">
        <v>92</v>
      </c>
      <c r="G100">
        <v>2</v>
      </c>
      <c r="H100">
        <v>2E+20</v>
      </c>
      <c r="I100">
        <v>2</v>
      </c>
      <c r="J100">
        <v>2</v>
      </c>
      <c r="K100">
        <v>2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2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2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2</v>
      </c>
      <c r="U100" s="5">
        <f>IF((ContinuousStatsTable[[#This Row],[RepsRequested]]&gt;1),ContinuousStatsTable[[#This Row],[HalfWidth]],ContinuousStatsTable[[#This Row],[BatchMeansHalfWidth]])</f>
        <v>0</v>
      </c>
    </row>
    <row r="101" spans="1:21">
      <c r="A101" t="s">
        <v>67</v>
      </c>
      <c r="B101" t="s">
        <v>70</v>
      </c>
      <c r="C101">
        <v>12</v>
      </c>
      <c r="D101" t="s">
        <v>71</v>
      </c>
      <c r="E101" t="s">
        <v>88</v>
      </c>
      <c r="F101" t="s">
        <v>73</v>
      </c>
      <c r="G101">
        <v>6.2453176751617496</v>
      </c>
      <c r="H101">
        <v>3E+20</v>
      </c>
      <c r="I101">
        <v>0</v>
      </c>
      <c r="J101">
        <v>17</v>
      </c>
      <c r="K101">
        <v>7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4.1194471364998897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8.3550459526658596</v>
      </c>
      <c r="U101" s="5">
        <f>IF((ContinuousStatsTable[[#This Row],[RepsRequested]]&gt;1),ContinuousStatsTable[[#This Row],[HalfWidth]],ContinuousStatsTable[[#This Row],[BatchMeansHalfWidth]])</f>
        <v>0.33154533313227752</v>
      </c>
    </row>
    <row r="102" spans="1:21">
      <c r="A102" t="s">
        <v>67</v>
      </c>
      <c r="B102" t="s">
        <v>70</v>
      </c>
      <c r="C102">
        <v>12</v>
      </c>
      <c r="D102" t="s">
        <v>79</v>
      </c>
      <c r="E102" t="s">
        <v>89</v>
      </c>
      <c r="F102" t="s">
        <v>81</v>
      </c>
      <c r="G102">
        <v>6.5827157043961707E-2</v>
      </c>
      <c r="H102">
        <v>2.4756591673987999E-2</v>
      </c>
      <c r="I102">
        <v>0</v>
      </c>
      <c r="J102">
        <v>2</v>
      </c>
      <c r="K102">
        <v>0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4.2893123096714503E-2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8.2167854080019698E-2</v>
      </c>
      <c r="U102" s="5">
        <f>IF((ContinuousStatsTable[[#This Row],[RepsRequested]]&gt;1),ContinuousStatsTable[[#This Row],[HalfWidth]],ContinuousStatsTable[[#This Row],[BatchMeansHalfWidth]])</f>
        <v>3.7191130285907097E-3</v>
      </c>
    </row>
    <row r="103" spans="1:21">
      <c r="A103" t="s">
        <v>67</v>
      </c>
      <c r="B103" t="s">
        <v>70</v>
      </c>
      <c r="C103">
        <v>12</v>
      </c>
      <c r="D103" t="s">
        <v>82</v>
      </c>
      <c r="E103" t="s">
        <v>89</v>
      </c>
      <c r="F103" t="s">
        <v>81</v>
      </c>
      <c r="G103">
        <v>3.0227140743717502</v>
      </c>
      <c r="H103">
        <v>3E+20</v>
      </c>
      <c r="I103">
        <v>0</v>
      </c>
      <c r="J103">
        <v>14</v>
      </c>
      <c r="K103">
        <v>3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1.16047720119272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5.0272524622418899</v>
      </c>
      <c r="U103" s="5">
        <f>IF((ContinuousStatsTable[[#This Row],[RepsRequested]]&gt;1),ContinuousStatsTable[[#This Row],[HalfWidth]],ContinuousStatsTable[[#This Row],[BatchMeansHalfWidth]])</f>
        <v>0.29961479841885524</v>
      </c>
    </row>
    <row r="104" spans="1:21">
      <c r="A104" t="s">
        <v>67</v>
      </c>
      <c r="B104" t="s">
        <v>70</v>
      </c>
      <c r="C104">
        <v>12</v>
      </c>
      <c r="D104" t="s">
        <v>90</v>
      </c>
      <c r="E104" t="s">
        <v>91</v>
      </c>
      <c r="F104" t="s">
        <v>92</v>
      </c>
      <c r="G104">
        <v>0.87898790834991003</v>
      </c>
      <c r="H104">
        <v>2E+20</v>
      </c>
      <c r="I104">
        <v>0</v>
      </c>
      <c r="J104">
        <v>1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0.79563957753275305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0.91388224334429202</v>
      </c>
      <c r="U104" s="5">
        <f>IF((ContinuousStatsTable[[#This Row],[RepsRequested]]&gt;1),ContinuousStatsTable[[#This Row],[HalfWidth]],ContinuousStatsTable[[#This Row],[BatchMeansHalfWidth]])</f>
        <v>1.1109852606791693E-2</v>
      </c>
    </row>
    <row r="105" spans="1:21">
      <c r="A105" t="s">
        <v>67</v>
      </c>
      <c r="B105" t="s">
        <v>70</v>
      </c>
      <c r="C105">
        <v>12</v>
      </c>
      <c r="D105" t="s">
        <v>90</v>
      </c>
      <c r="E105" t="s">
        <v>93</v>
      </c>
      <c r="F105" t="s">
        <v>92</v>
      </c>
      <c r="G105">
        <v>1.7579758166998201</v>
      </c>
      <c r="H105">
        <v>2E+20</v>
      </c>
      <c r="I105">
        <v>0</v>
      </c>
      <c r="J105">
        <v>2</v>
      </c>
      <c r="K105">
        <v>2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1.5912791550655101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1.82776448668858</v>
      </c>
      <c r="U105" s="5">
        <f>IF((ContinuousStatsTable[[#This Row],[RepsRequested]]&gt;1),ContinuousStatsTable[[#This Row],[HalfWidth]],ContinuousStatsTable[[#This Row],[BatchMeansHalfWidth]])</f>
        <v>2.2219705213583314E-2</v>
      </c>
    </row>
    <row r="106" spans="1:21">
      <c r="A106" t="s">
        <v>67</v>
      </c>
      <c r="B106" t="s">
        <v>70</v>
      </c>
      <c r="C106">
        <v>12</v>
      </c>
      <c r="D106" t="s">
        <v>90</v>
      </c>
      <c r="E106" t="s">
        <v>94</v>
      </c>
      <c r="F106" t="s">
        <v>92</v>
      </c>
      <c r="G106">
        <v>2</v>
      </c>
      <c r="H106">
        <v>2E+20</v>
      </c>
      <c r="I106">
        <v>2</v>
      </c>
      <c r="J106">
        <v>2</v>
      </c>
      <c r="K106">
        <v>2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2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2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2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>
      <c r="A107" t="s">
        <v>67</v>
      </c>
      <c r="B107" t="s">
        <v>70</v>
      </c>
      <c r="C107">
        <v>12</v>
      </c>
      <c r="D107" t="s">
        <v>95</v>
      </c>
      <c r="E107" t="s">
        <v>91</v>
      </c>
      <c r="F107" t="s">
        <v>92</v>
      </c>
      <c r="G107">
        <v>0.69940031352311405</v>
      </c>
      <c r="H107">
        <v>4.8828446879285198E-2</v>
      </c>
      <c r="I107">
        <v>0</v>
      </c>
      <c r="J107">
        <v>1</v>
      </c>
      <c r="K107">
        <v>1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0.62568527922134098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0.72090720879040104</v>
      </c>
      <c r="U107" s="5">
        <f>IF((ContinuousStatsTable[[#This Row],[RepsRequested]]&gt;1),ContinuousStatsTable[[#This Row],[HalfWidth]],ContinuousStatsTable[[#This Row],[BatchMeansHalfWidth]])</f>
        <v>9.4948322151438332E-3</v>
      </c>
    </row>
    <row r="108" spans="1:21">
      <c r="A108" t="s">
        <v>67</v>
      </c>
      <c r="B108" t="s">
        <v>70</v>
      </c>
      <c r="C108">
        <v>12</v>
      </c>
      <c r="D108" t="s">
        <v>95</v>
      </c>
      <c r="E108" t="s">
        <v>93</v>
      </c>
      <c r="F108" t="s">
        <v>92</v>
      </c>
      <c r="G108">
        <v>1.3988006270462301</v>
      </c>
      <c r="H108">
        <v>9.7656893758570396E-2</v>
      </c>
      <c r="I108">
        <v>0</v>
      </c>
      <c r="J108">
        <v>2</v>
      </c>
      <c r="K108">
        <v>2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1.25137055844268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1.4418144175808001</v>
      </c>
      <c r="U108" s="5">
        <f>IF((ContinuousStatsTable[[#This Row],[RepsRequested]]&gt;1),ContinuousStatsTable[[#This Row],[HalfWidth]],ContinuousStatsTable[[#This Row],[BatchMeansHalfWidth]])</f>
        <v>1.8989664430287469E-2</v>
      </c>
    </row>
    <row r="109" spans="1:21">
      <c r="A109" t="s">
        <v>67</v>
      </c>
      <c r="B109" t="s">
        <v>70</v>
      </c>
      <c r="C109">
        <v>12</v>
      </c>
      <c r="D109" t="s">
        <v>95</v>
      </c>
      <c r="E109" t="s">
        <v>94</v>
      </c>
      <c r="F109" t="s">
        <v>92</v>
      </c>
      <c r="G109">
        <v>2</v>
      </c>
      <c r="H109">
        <v>2E+20</v>
      </c>
      <c r="I109">
        <v>2</v>
      </c>
      <c r="J109">
        <v>2</v>
      </c>
      <c r="K109">
        <v>2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2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2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2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>
      <c r="A110" t="s">
        <v>67</v>
      </c>
      <c r="B110" t="s">
        <v>70</v>
      </c>
      <c r="C110">
        <v>13</v>
      </c>
      <c r="D110" t="s">
        <v>71</v>
      </c>
      <c r="E110" t="s">
        <v>88</v>
      </c>
      <c r="F110" t="s">
        <v>73</v>
      </c>
      <c r="G110">
        <v>4.1194471364998897</v>
      </c>
      <c r="H110">
        <v>3E+20</v>
      </c>
      <c r="I110">
        <v>0</v>
      </c>
      <c r="J110">
        <v>13</v>
      </c>
      <c r="K110">
        <v>5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4.1194471364998897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8.3550459526658596</v>
      </c>
      <c r="U110" s="5">
        <f>IF((ContinuousStatsTable[[#This Row],[RepsRequested]]&gt;1),ContinuousStatsTable[[#This Row],[HalfWidth]],ContinuousStatsTable[[#This Row],[BatchMeansHalfWidth]])</f>
        <v>0.33154533313227752</v>
      </c>
    </row>
    <row r="111" spans="1:21">
      <c r="A111" t="s">
        <v>67</v>
      </c>
      <c r="B111" t="s">
        <v>70</v>
      </c>
      <c r="C111">
        <v>13</v>
      </c>
      <c r="D111" t="s">
        <v>79</v>
      </c>
      <c r="E111" t="s">
        <v>89</v>
      </c>
      <c r="F111" t="s">
        <v>81</v>
      </c>
      <c r="G111">
        <v>4.6530606207242697E-2</v>
      </c>
      <c r="H111">
        <v>2E+20</v>
      </c>
      <c r="I111">
        <v>0</v>
      </c>
      <c r="J111">
        <v>2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4.2893123096714503E-2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8.2167854080019698E-2</v>
      </c>
      <c r="U111" s="5">
        <f>IF((ContinuousStatsTable[[#This Row],[RepsRequested]]&gt;1),ContinuousStatsTable[[#This Row],[HalfWidth]],ContinuousStatsTable[[#This Row],[BatchMeansHalfWidth]])</f>
        <v>3.7191130285907097E-3</v>
      </c>
    </row>
    <row r="112" spans="1:21">
      <c r="A112" t="s">
        <v>67</v>
      </c>
      <c r="B112" t="s">
        <v>70</v>
      </c>
      <c r="C112">
        <v>13</v>
      </c>
      <c r="D112" t="s">
        <v>82</v>
      </c>
      <c r="E112" t="s">
        <v>89</v>
      </c>
      <c r="F112" t="s">
        <v>81</v>
      </c>
      <c r="G112">
        <v>1.16047720119272</v>
      </c>
      <c r="H112">
        <v>3E+20</v>
      </c>
      <c r="I112">
        <v>0</v>
      </c>
      <c r="J112">
        <v>10</v>
      </c>
      <c r="K112">
        <v>1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1.16047720119272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5.0272524622418899</v>
      </c>
      <c r="U112" s="5">
        <f>IF((ContinuousStatsTable[[#This Row],[RepsRequested]]&gt;1),ContinuousStatsTable[[#This Row],[HalfWidth]],ContinuousStatsTable[[#This Row],[BatchMeansHalfWidth]])</f>
        <v>0.29961479841885524</v>
      </c>
    </row>
    <row r="113" spans="1:21">
      <c r="A113" t="s">
        <v>67</v>
      </c>
      <c r="B113" t="s">
        <v>70</v>
      </c>
      <c r="C113">
        <v>13</v>
      </c>
      <c r="D113" t="s">
        <v>90</v>
      </c>
      <c r="E113" t="s">
        <v>91</v>
      </c>
      <c r="F113" t="s">
        <v>92</v>
      </c>
      <c r="G113">
        <v>0.82024486165129495</v>
      </c>
      <c r="H113">
        <v>4.4465295968465102E-2</v>
      </c>
      <c r="I113">
        <v>0</v>
      </c>
      <c r="J113">
        <v>1</v>
      </c>
      <c r="K113">
        <v>1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0.79563957753275305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0.91388224334429202</v>
      </c>
      <c r="U113" s="5">
        <f>IF((ContinuousStatsTable[[#This Row],[RepsRequested]]&gt;1),ContinuousStatsTable[[#This Row],[HalfWidth]],ContinuousStatsTable[[#This Row],[BatchMeansHalfWidth]])</f>
        <v>1.1109852606791693E-2</v>
      </c>
    </row>
    <row r="114" spans="1:21">
      <c r="A114" t="s">
        <v>67</v>
      </c>
      <c r="B114" t="s">
        <v>70</v>
      </c>
      <c r="C114">
        <v>13</v>
      </c>
      <c r="D114" t="s">
        <v>90</v>
      </c>
      <c r="E114" t="s">
        <v>93</v>
      </c>
      <c r="F114" t="s">
        <v>92</v>
      </c>
      <c r="G114">
        <v>1.6404897233025899</v>
      </c>
      <c r="H114">
        <v>8.8930591936930106E-2</v>
      </c>
      <c r="I114">
        <v>0</v>
      </c>
      <c r="J114">
        <v>2</v>
      </c>
      <c r="K114">
        <v>2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1.5912791550655101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1.82776448668858</v>
      </c>
      <c r="U114" s="5">
        <f>IF((ContinuousStatsTable[[#This Row],[RepsRequested]]&gt;1),ContinuousStatsTable[[#This Row],[HalfWidth]],ContinuousStatsTable[[#This Row],[BatchMeansHalfWidth]])</f>
        <v>2.2219705213583314E-2</v>
      </c>
    </row>
    <row r="115" spans="1:21">
      <c r="A115" t="s">
        <v>67</v>
      </c>
      <c r="B115" t="s">
        <v>70</v>
      </c>
      <c r="C115">
        <v>13</v>
      </c>
      <c r="D115" t="s">
        <v>90</v>
      </c>
      <c r="E115" t="s">
        <v>94</v>
      </c>
      <c r="F115" t="s">
        <v>92</v>
      </c>
      <c r="G115">
        <v>2</v>
      </c>
      <c r="H115">
        <v>2E+20</v>
      </c>
      <c r="I115">
        <v>2</v>
      </c>
      <c r="J115">
        <v>2</v>
      </c>
      <c r="K115">
        <v>2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2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2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2</v>
      </c>
      <c r="U115" s="5">
        <f>IF((ContinuousStatsTable[[#This Row],[RepsRequested]]&gt;1),ContinuousStatsTable[[#This Row],[HalfWidth]],ContinuousStatsTable[[#This Row],[BatchMeansHalfWidth]])</f>
        <v>0</v>
      </c>
    </row>
    <row r="116" spans="1:21">
      <c r="A116" t="s">
        <v>67</v>
      </c>
      <c r="B116" t="s">
        <v>70</v>
      </c>
      <c r="C116">
        <v>13</v>
      </c>
      <c r="D116" t="s">
        <v>95</v>
      </c>
      <c r="E116" t="s">
        <v>91</v>
      </c>
      <c r="F116" t="s">
        <v>92</v>
      </c>
      <c r="G116">
        <v>0.63597480289866404</v>
      </c>
      <c r="H116">
        <v>3.0805264068221299E-2</v>
      </c>
      <c r="I116">
        <v>0</v>
      </c>
      <c r="J116">
        <v>1</v>
      </c>
      <c r="K116">
        <v>1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0.62568527922134098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0.72090720879040104</v>
      </c>
      <c r="U116" s="5">
        <f>IF((ContinuousStatsTable[[#This Row],[RepsRequested]]&gt;1),ContinuousStatsTable[[#This Row],[HalfWidth]],ContinuousStatsTable[[#This Row],[BatchMeansHalfWidth]])</f>
        <v>9.4948322151438332E-3</v>
      </c>
    </row>
    <row r="117" spans="1:21">
      <c r="A117" t="s">
        <v>67</v>
      </c>
      <c r="B117" t="s">
        <v>70</v>
      </c>
      <c r="C117">
        <v>13</v>
      </c>
      <c r="D117" t="s">
        <v>95</v>
      </c>
      <c r="E117" t="s">
        <v>93</v>
      </c>
      <c r="F117" t="s">
        <v>92</v>
      </c>
      <c r="G117">
        <v>1.2719496057973301</v>
      </c>
      <c r="H117">
        <v>6.1610528136442598E-2</v>
      </c>
      <c r="I117">
        <v>0</v>
      </c>
      <c r="J117">
        <v>2</v>
      </c>
      <c r="K117">
        <v>2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1.25137055844268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1.4418144175808001</v>
      </c>
      <c r="U117" s="5">
        <f>IF((ContinuousStatsTable[[#This Row],[RepsRequested]]&gt;1),ContinuousStatsTable[[#This Row],[HalfWidth]],ContinuousStatsTable[[#This Row],[BatchMeansHalfWidth]])</f>
        <v>1.8989664430287469E-2</v>
      </c>
    </row>
    <row r="118" spans="1:21">
      <c r="A118" t="s">
        <v>67</v>
      </c>
      <c r="B118" t="s">
        <v>70</v>
      </c>
      <c r="C118">
        <v>13</v>
      </c>
      <c r="D118" t="s">
        <v>95</v>
      </c>
      <c r="E118" t="s">
        <v>94</v>
      </c>
      <c r="F118" t="s">
        <v>92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 s="5">
        <f>IF((ContinuousStatsTable[[#This Row],[RepsRequested]]&gt;1),ContinuousStatsTable[[#This Row],[HalfWidth]],ContinuousStatsTable[[#This Row],[BatchMeansHalfWidth]])</f>
        <v>0</v>
      </c>
    </row>
    <row r="119" spans="1:21">
      <c r="A119" t="s">
        <v>67</v>
      </c>
      <c r="B119" t="s">
        <v>70</v>
      </c>
      <c r="C119">
        <v>14</v>
      </c>
      <c r="D119" t="s">
        <v>71</v>
      </c>
      <c r="E119" t="s">
        <v>88</v>
      </c>
      <c r="F119" t="s">
        <v>73</v>
      </c>
      <c r="G119">
        <v>5.72733280104136</v>
      </c>
      <c r="H119">
        <v>0.91109628734540804</v>
      </c>
      <c r="I119">
        <v>0</v>
      </c>
      <c r="J119">
        <v>15</v>
      </c>
      <c r="K119">
        <v>9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4.1194471364998897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8.3550459526658596</v>
      </c>
      <c r="U119" s="5">
        <f>IF((ContinuousStatsTable[[#This Row],[RepsRequested]]&gt;1),ContinuousStatsTable[[#This Row],[HalfWidth]],ContinuousStatsTable[[#This Row],[BatchMeansHalfWidth]])</f>
        <v>0.33154533313227752</v>
      </c>
    </row>
    <row r="120" spans="1:21">
      <c r="A120" t="s">
        <v>67</v>
      </c>
      <c r="B120" t="s">
        <v>70</v>
      </c>
      <c r="C120">
        <v>14</v>
      </c>
      <c r="D120" t="s">
        <v>79</v>
      </c>
      <c r="E120" t="s">
        <v>89</v>
      </c>
      <c r="F120" t="s">
        <v>81</v>
      </c>
      <c r="G120">
        <v>6.1573216807679999E-2</v>
      </c>
      <c r="H120">
        <v>1.60552048742496E-2</v>
      </c>
      <c r="I120">
        <v>0</v>
      </c>
      <c r="J120">
        <v>2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4.2893123096714503E-2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8.2167854080019698E-2</v>
      </c>
      <c r="U120" s="5">
        <f>IF((ContinuousStatsTable[[#This Row],[RepsRequested]]&gt;1),ContinuousStatsTable[[#This Row],[HalfWidth]],ContinuousStatsTable[[#This Row],[BatchMeansHalfWidth]])</f>
        <v>3.7191130285907097E-3</v>
      </c>
    </row>
    <row r="121" spans="1:21">
      <c r="A121" t="s">
        <v>67</v>
      </c>
      <c r="B121" t="s">
        <v>70</v>
      </c>
      <c r="C121">
        <v>14</v>
      </c>
      <c r="D121" t="s">
        <v>82</v>
      </c>
      <c r="E121" t="s">
        <v>89</v>
      </c>
      <c r="F121" t="s">
        <v>81</v>
      </c>
      <c r="G121">
        <v>2.5449344394600399</v>
      </c>
      <c r="H121">
        <v>0.78315592690547298</v>
      </c>
      <c r="I121">
        <v>0</v>
      </c>
      <c r="J121">
        <v>12</v>
      </c>
      <c r="K121">
        <v>6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1.16047720119272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5.0272524622418899</v>
      </c>
      <c r="U121" s="5">
        <f>IF((ContinuousStatsTable[[#This Row],[RepsRequested]]&gt;1),ContinuousStatsTable[[#This Row],[HalfWidth]],ContinuousStatsTable[[#This Row],[BatchMeansHalfWidth]])</f>
        <v>0.29961479841885524</v>
      </c>
    </row>
    <row r="122" spans="1:21">
      <c r="A122" t="s">
        <v>67</v>
      </c>
      <c r="B122" t="s">
        <v>70</v>
      </c>
      <c r="C122">
        <v>14</v>
      </c>
      <c r="D122" t="s">
        <v>90</v>
      </c>
      <c r="E122" t="s">
        <v>91</v>
      </c>
      <c r="F122" t="s">
        <v>92</v>
      </c>
      <c r="G122">
        <v>0.86909862719891795</v>
      </c>
      <c r="H122">
        <v>2E+20</v>
      </c>
      <c r="I122">
        <v>0</v>
      </c>
      <c r="J122">
        <v>1</v>
      </c>
      <c r="K122">
        <v>1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0.79563957753275305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0.91388224334429202</v>
      </c>
      <c r="U122" s="5">
        <f>IF((ContinuousStatsTable[[#This Row],[RepsRequested]]&gt;1),ContinuousStatsTable[[#This Row],[HalfWidth]],ContinuousStatsTable[[#This Row],[BatchMeansHalfWidth]])</f>
        <v>1.1109852606791693E-2</v>
      </c>
    </row>
    <row r="123" spans="1:21">
      <c r="A123" t="s">
        <v>67</v>
      </c>
      <c r="B123" t="s">
        <v>70</v>
      </c>
      <c r="C123">
        <v>14</v>
      </c>
      <c r="D123" t="s">
        <v>90</v>
      </c>
      <c r="E123" t="s">
        <v>93</v>
      </c>
      <c r="F123" t="s">
        <v>92</v>
      </c>
      <c r="G123">
        <v>1.7381972543978399</v>
      </c>
      <c r="H123">
        <v>2E+20</v>
      </c>
      <c r="I123">
        <v>0</v>
      </c>
      <c r="J123">
        <v>2</v>
      </c>
      <c r="K123">
        <v>2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1.5912791550655101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1.82776448668858</v>
      </c>
      <c r="U123" s="5">
        <f>IF((ContinuousStatsTable[[#This Row],[RepsRequested]]&gt;1),ContinuousStatsTable[[#This Row],[HalfWidth]],ContinuousStatsTable[[#This Row],[BatchMeansHalfWidth]])</f>
        <v>2.2219705213583314E-2</v>
      </c>
    </row>
    <row r="124" spans="1:21">
      <c r="A124" t="s">
        <v>67</v>
      </c>
      <c r="B124" t="s">
        <v>70</v>
      </c>
      <c r="C124">
        <v>14</v>
      </c>
      <c r="D124" t="s">
        <v>90</v>
      </c>
      <c r="E124" t="s">
        <v>94</v>
      </c>
      <c r="F124" t="s">
        <v>92</v>
      </c>
      <c r="G124">
        <v>2</v>
      </c>
      <c r="H124">
        <v>2E+20</v>
      </c>
      <c r="I124">
        <v>2</v>
      </c>
      <c r="J124">
        <v>2</v>
      </c>
      <c r="K124">
        <v>2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2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2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2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>
      <c r="A125" t="s">
        <v>67</v>
      </c>
      <c r="B125" t="s">
        <v>70</v>
      </c>
      <c r="C125">
        <v>14</v>
      </c>
      <c r="D125" t="s">
        <v>95</v>
      </c>
      <c r="E125" t="s">
        <v>91</v>
      </c>
      <c r="F125" t="s">
        <v>92</v>
      </c>
      <c r="G125">
        <v>0.69131394518790701</v>
      </c>
      <c r="H125">
        <v>3.6870220688271102E-2</v>
      </c>
      <c r="I125">
        <v>0</v>
      </c>
      <c r="J125">
        <v>1</v>
      </c>
      <c r="K125">
        <v>0.5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0.62568527922134098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0.72090720879040104</v>
      </c>
      <c r="U125" s="5">
        <f>IF((ContinuousStatsTable[[#This Row],[RepsRequested]]&gt;1),ContinuousStatsTable[[#This Row],[HalfWidth]],ContinuousStatsTable[[#This Row],[BatchMeansHalfWidth]])</f>
        <v>9.4948322151438332E-3</v>
      </c>
    </row>
    <row r="126" spans="1:21">
      <c r="A126" t="s">
        <v>67</v>
      </c>
      <c r="B126" t="s">
        <v>70</v>
      </c>
      <c r="C126">
        <v>14</v>
      </c>
      <c r="D126" t="s">
        <v>95</v>
      </c>
      <c r="E126" t="s">
        <v>93</v>
      </c>
      <c r="F126" t="s">
        <v>92</v>
      </c>
      <c r="G126">
        <v>1.38262789037581</v>
      </c>
      <c r="H126">
        <v>7.3740441376542204E-2</v>
      </c>
      <c r="I126">
        <v>0</v>
      </c>
      <c r="J126">
        <v>2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1.25137055844268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1.4418144175808001</v>
      </c>
      <c r="U126" s="5">
        <f>IF((ContinuousStatsTable[[#This Row],[RepsRequested]]&gt;1),ContinuousStatsTable[[#This Row],[HalfWidth]],ContinuousStatsTable[[#This Row],[BatchMeansHalfWidth]])</f>
        <v>1.8989664430287469E-2</v>
      </c>
    </row>
    <row r="127" spans="1:21">
      <c r="A127" t="s">
        <v>67</v>
      </c>
      <c r="B127" t="s">
        <v>70</v>
      </c>
      <c r="C127">
        <v>14</v>
      </c>
      <c r="D127" t="s">
        <v>95</v>
      </c>
      <c r="E127" t="s">
        <v>94</v>
      </c>
      <c r="F127" t="s">
        <v>92</v>
      </c>
      <c r="G127">
        <v>2</v>
      </c>
      <c r="H127">
        <v>2E+20</v>
      </c>
      <c r="I127">
        <v>2</v>
      </c>
      <c r="J127">
        <v>2</v>
      </c>
      <c r="K127">
        <v>2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2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2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2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>
      <c r="A128" t="s">
        <v>67</v>
      </c>
      <c r="B128" t="s">
        <v>70</v>
      </c>
      <c r="C128">
        <v>15</v>
      </c>
      <c r="D128" t="s">
        <v>71</v>
      </c>
      <c r="E128" t="s">
        <v>88</v>
      </c>
      <c r="F128" t="s">
        <v>73</v>
      </c>
      <c r="G128">
        <v>5.6326553084546402</v>
      </c>
      <c r="H128">
        <v>3E+20</v>
      </c>
      <c r="I128">
        <v>0</v>
      </c>
      <c r="J128">
        <v>14</v>
      </c>
      <c r="K128">
        <v>1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4.1194471364998897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8.3550459526658596</v>
      </c>
      <c r="U128" s="5">
        <f>IF((ContinuousStatsTable[[#This Row],[RepsRequested]]&gt;1),ContinuousStatsTable[[#This Row],[HalfWidth]],ContinuousStatsTable[[#This Row],[BatchMeansHalfWidth]])</f>
        <v>0.33154533313227752</v>
      </c>
    </row>
    <row r="129" spans="1:21">
      <c r="A129" t="s">
        <v>67</v>
      </c>
      <c r="B129" t="s">
        <v>70</v>
      </c>
      <c r="C129">
        <v>15</v>
      </c>
      <c r="D129" t="s">
        <v>79</v>
      </c>
      <c r="E129" t="s">
        <v>89</v>
      </c>
      <c r="F129" t="s">
        <v>81</v>
      </c>
      <c r="G129">
        <v>8.0790423084047505E-2</v>
      </c>
      <c r="H129">
        <v>1.8519295328579599E-2</v>
      </c>
      <c r="I129">
        <v>0</v>
      </c>
      <c r="J129">
        <v>2</v>
      </c>
      <c r="K129">
        <v>0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4.2893123096714503E-2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8.2167854080019698E-2</v>
      </c>
      <c r="U129" s="5">
        <f>IF((ContinuousStatsTable[[#This Row],[RepsRequested]]&gt;1),ContinuousStatsTable[[#This Row],[HalfWidth]],ContinuousStatsTable[[#This Row],[BatchMeansHalfWidth]])</f>
        <v>3.7191130285907097E-3</v>
      </c>
    </row>
    <row r="130" spans="1:21">
      <c r="A130" t="s">
        <v>67</v>
      </c>
      <c r="B130" t="s">
        <v>70</v>
      </c>
      <c r="C130">
        <v>15</v>
      </c>
      <c r="D130" t="s">
        <v>82</v>
      </c>
      <c r="E130" t="s">
        <v>89</v>
      </c>
      <c r="F130" t="s">
        <v>81</v>
      </c>
      <c r="G130">
        <v>2.3918746441110601</v>
      </c>
      <c r="H130">
        <v>3E+20</v>
      </c>
      <c r="I130">
        <v>0</v>
      </c>
      <c r="J130">
        <v>11</v>
      </c>
      <c r="K130">
        <v>0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1.16047720119272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5.0272524622418899</v>
      </c>
      <c r="U130" s="5">
        <f>IF((ContinuousStatsTable[[#This Row],[RepsRequested]]&gt;1),ContinuousStatsTable[[#This Row],[HalfWidth]],ContinuousStatsTable[[#This Row],[BatchMeansHalfWidth]])</f>
        <v>0.29961479841885524</v>
      </c>
    </row>
    <row r="131" spans="1:21">
      <c r="A131" t="s">
        <v>67</v>
      </c>
      <c r="B131" t="s">
        <v>70</v>
      </c>
      <c r="C131">
        <v>15</v>
      </c>
      <c r="D131" t="s">
        <v>90</v>
      </c>
      <c r="E131" t="s">
        <v>91</v>
      </c>
      <c r="F131" t="s">
        <v>92</v>
      </c>
      <c r="G131">
        <v>0.87224390502583504</v>
      </c>
      <c r="H131">
        <v>2E+20</v>
      </c>
      <c r="I131">
        <v>0</v>
      </c>
      <c r="J131">
        <v>1</v>
      </c>
      <c r="K131">
        <v>0.5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0.79563957753275305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0.91388224334429202</v>
      </c>
      <c r="U131" s="5">
        <f>IF((ContinuousStatsTable[[#This Row],[RepsRequested]]&gt;1),ContinuousStatsTable[[#This Row],[HalfWidth]],ContinuousStatsTable[[#This Row],[BatchMeansHalfWidth]])</f>
        <v>1.1109852606791693E-2</v>
      </c>
    </row>
    <row r="132" spans="1:21">
      <c r="A132" t="s">
        <v>67</v>
      </c>
      <c r="B132" t="s">
        <v>70</v>
      </c>
      <c r="C132">
        <v>15</v>
      </c>
      <c r="D132" t="s">
        <v>90</v>
      </c>
      <c r="E132" t="s">
        <v>93</v>
      </c>
      <c r="F132" t="s">
        <v>92</v>
      </c>
      <c r="G132">
        <v>1.7444878100516701</v>
      </c>
      <c r="H132">
        <v>2E+20</v>
      </c>
      <c r="I132">
        <v>0</v>
      </c>
      <c r="J132">
        <v>2</v>
      </c>
      <c r="K132">
        <v>1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1.5912791550655101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1.82776448668858</v>
      </c>
      <c r="U132" s="5">
        <f>IF((ContinuousStatsTable[[#This Row],[RepsRequested]]&gt;1),ContinuousStatsTable[[#This Row],[HalfWidth]],ContinuousStatsTable[[#This Row],[BatchMeansHalfWidth]])</f>
        <v>2.2219705213583314E-2</v>
      </c>
    </row>
    <row r="133" spans="1:21">
      <c r="A133" t="s">
        <v>67</v>
      </c>
      <c r="B133" t="s">
        <v>70</v>
      </c>
      <c r="C133">
        <v>15</v>
      </c>
      <c r="D133" t="s">
        <v>90</v>
      </c>
      <c r="E133" t="s">
        <v>94</v>
      </c>
      <c r="F133" t="s">
        <v>92</v>
      </c>
      <c r="G133">
        <v>2</v>
      </c>
      <c r="H133">
        <v>2E+20</v>
      </c>
      <c r="I133">
        <v>2</v>
      </c>
      <c r="J133">
        <v>2</v>
      </c>
      <c r="K133">
        <v>2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2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2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2</v>
      </c>
      <c r="U133" s="5">
        <f>IF((ContinuousStatsTable[[#This Row],[RepsRequested]]&gt;1),ContinuousStatsTable[[#This Row],[HalfWidth]],ContinuousStatsTable[[#This Row],[BatchMeansHalfWidth]])</f>
        <v>0</v>
      </c>
    </row>
    <row r="134" spans="1:21">
      <c r="A134" t="s">
        <v>67</v>
      </c>
      <c r="B134" t="s">
        <v>70</v>
      </c>
      <c r="C134">
        <v>15</v>
      </c>
      <c r="D134" t="s">
        <v>95</v>
      </c>
      <c r="E134" t="s">
        <v>91</v>
      </c>
      <c r="F134" t="s">
        <v>92</v>
      </c>
      <c r="G134">
        <v>0.70775121560393095</v>
      </c>
      <c r="H134">
        <v>3E+20</v>
      </c>
      <c r="I134">
        <v>0</v>
      </c>
      <c r="J134">
        <v>1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0.62568527922134098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0.72090720879040104</v>
      </c>
      <c r="U134" s="5">
        <f>IF((ContinuousStatsTable[[#This Row],[RepsRequested]]&gt;1),ContinuousStatsTable[[#This Row],[HalfWidth]],ContinuousStatsTable[[#This Row],[BatchMeansHalfWidth]])</f>
        <v>9.4948322151438332E-3</v>
      </c>
    </row>
    <row r="135" spans="1:21">
      <c r="A135" t="s">
        <v>67</v>
      </c>
      <c r="B135" t="s">
        <v>70</v>
      </c>
      <c r="C135">
        <v>15</v>
      </c>
      <c r="D135" t="s">
        <v>95</v>
      </c>
      <c r="E135" t="s">
        <v>93</v>
      </c>
      <c r="F135" t="s">
        <v>92</v>
      </c>
      <c r="G135">
        <v>1.4155024312078599</v>
      </c>
      <c r="H135">
        <v>3E+20</v>
      </c>
      <c r="I135">
        <v>0</v>
      </c>
      <c r="J135">
        <v>2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1.25137055844268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1.4418144175808001</v>
      </c>
      <c r="U135" s="5">
        <f>IF((ContinuousStatsTable[[#This Row],[RepsRequested]]&gt;1),ContinuousStatsTable[[#This Row],[HalfWidth]],ContinuousStatsTable[[#This Row],[BatchMeansHalfWidth]])</f>
        <v>1.8989664430287469E-2</v>
      </c>
    </row>
    <row r="136" spans="1:21">
      <c r="A136" t="s">
        <v>67</v>
      </c>
      <c r="B136" t="s">
        <v>70</v>
      </c>
      <c r="C136">
        <v>15</v>
      </c>
      <c r="D136" t="s">
        <v>95</v>
      </c>
      <c r="E136" t="s">
        <v>94</v>
      </c>
      <c r="F136" t="s">
        <v>92</v>
      </c>
      <c r="G136">
        <v>2</v>
      </c>
      <c r="H136">
        <v>2E+20</v>
      </c>
      <c r="I136">
        <v>2</v>
      </c>
      <c r="J136">
        <v>2</v>
      </c>
      <c r="K136">
        <v>2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2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2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2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>
      <c r="A137" t="s">
        <v>67</v>
      </c>
      <c r="B137" t="s">
        <v>70</v>
      </c>
      <c r="C137">
        <v>16</v>
      </c>
      <c r="D137" t="s">
        <v>71</v>
      </c>
      <c r="E137" t="s">
        <v>88</v>
      </c>
      <c r="F137" t="s">
        <v>73</v>
      </c>
      <c r="G137">
        <v>6.3858608022515302</v>
      </c>
      <c r="H137">
        <v>3E+20</v>
      </c>
      <c r="I137">
        <v>0</v>
      </c>
      <c r="J137">
        <v>22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4.1194471364998897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8.3550459526658596</v>
      </c>
      <c r="U137" s="5">
        <f>IF((ContinuousStatsTable[[#This Row],[RepsRequested]]&gt;1),ContinuousStatsTable[[#This Row],[HalfWidth]],ContinuousStatsTable[[#This Row],[BatchMeansHalfWidth]])</f>
        <v>0.33154533313227752</v>
      </c>
    </row>
    <row r="138" spans="1:21">
      <c r="A138" t="s">
        <v>67</v>
      </c>
      <c r="B138" t="s">
        <v>70</v>
      </c>
      <c r="C138">
        <v>16</v>
      </c>
      <c r="D138" t="s">
        <v>79</v>
      </c>
      <c r="E138" t="s">
        <v>89</v>
      </c>
      <c r="F138" t="s">
        <v>81</v>
      </c>
      <c r="G138">
        <v>6.7071383900942194E-2</v>
      </c>
      <c r="H138">
        <v>2.1438203521627602E-2</v>
      </c>
      <c r="I138">
        <v>0</v>
      </c>
      <c r="J138">
        <v>2</v>
      </c>
      <c r="K138">
        <v>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4.2893123096714503E-2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8.2167854080019698E-2</v>
      </c>
      <c r="U138" s="5">
        <f>IF((ContinuousStatsTable[[#This Row],[RepsRequested]]&gt;1),ContinuousStatsTable[[#This Row],[HalfWidth]],ContinuousStatsTable[[#This Row],[BatchMeansHalfWidth]])</f>
        <v>3.7191130285907097E-3</v>
      </c>
    </row>
    <row r="139" spans="1:21">
      <c r="A139" t="s">
        <v>67</v>
      </c>
      <c r="B139" t="s">
        <v>70</v>
      </c>
      <c r="C139">
        <v>16</v>
      </c>
      <c r="D139" t="s">
        <v>82</v>
      </c>
      <c r="E139" t="s">
        <v>89</v>
      </c>
      <c r="F139" t="s">
        <v>81</v>
      </c>
      <c r="G139">
        <v>3.1420978070536898</v>
      </c>
      <c r="H139">
        <v>3E+20</v>
      </c>
      <c r="I139">
        <v>0</v>
      </c>
      <c r="J139">
        <v>17</v>
      </c>
      <c r="K139">
        <v>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1.16047720119272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5.0272524622418899</v>
      </c>
      <c r="U139" s="5">
        <f>IF((ContinuousStatsTable[[#This Row],[RepsRequested]]&gt;1),ContinuousStatsTable[[#This Row],[HalfWidth]],ContinuousStatsTable[[#This Row],[BatchMeansHalfWidth]])</f>
        <v>0.29961479841885524</v>
      </c>
    </row>
    <row r="140" spans="1:21">
      <c r="A140" t="s">
        <v>67</v>
      </c>
      <c r="B140" t="s">
        <v>70</v>
      </c>
      <c r="C140">
        <v>16</v>
      </c>
      <c r="D140" t="s">
        <v>90</v>
      </c>
      <c r="E140" t="s">
        <v>91</v>
      </c>
      <c r="F140" t="s">
        <v>92</v>
      </c>
      <c r="G140">
        <v>0.88479302517467795</v>
      </c>
      <c r="H140">
        <v>2E+20</v>
      </c>
      <c r="I140">
        <v>0</v>
      </c>
      <c r="J140">
        <v>1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0.79563957753275305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0.91388224334429202</v>
      </c>
      <c r="U140" s="5">
        <f>IF((ContinuousStatsTable[[#This Row],[RepsRequested]]&gt;1),ContinuousStatsTable[[#This Row],[HalfWidth]],ContinuousStatsTable[[#This Row],[BatchMeansHalfWidth]])</f>
        <v>1.1109852606791693E-2</v>
      </c>
    </row>
    <row r="141" spans="1:21">
      <c r="A141" t="s">
        <v>67</v>
      </c>
      <c r="B141" t="s">
        <v>70</v>
      </c>
      <c r="C141">
        <v>16</v>
      </c>
      <c r="D141" t="s">
        <v>90</v>
      </c>
      <c r="E141" t="s">
        <v>93</v>
      </c>
      <c r="F141" t="s">
        <v>92</v>
      </c>
      <c r="G141">
        <v>1.7695860503493599</v>
      </c>
      <c r="H141">
        <v>2E+20</v>
      </c>
      <c r="I141">
        <v>0</v>
      </c>
      <c r="J141">
        <v>2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1.5912791550655101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1.82776448668858</v>
      </c>
      <c r="U141" s="5">
        <f>IF((ContinuousStatsTable[[#This Row],[RepsRequested]]&gt;1),ContinuousStatsTable[[#This Row],[HalfWidth]],ContinuousStatsTable[[#This Row],[BatchMeansHalfWidth]])</f>
        <v>2.2219705213583314E-2</v>
      </c>
    </row>
    <row r="142" spans="1:21">
      <c r="A142" t="s">
        <v>67</v>
      </c>
      <c r="B142" t="s">
        <v>70</v>
      </c>
      <c r="C142">
        <v>16</v>
      </c>
      <c r="D142" t="s">
        <v>90</v>
      </c>
      <c r="E142" t="s">
        <v>94</v>
      </c>
      <c r="F142" t="s">
        <v>92</v>
      </c>
      <c r="G142">
        <v>2</v>
      </c>
      <c r="H142">
        <v>2E+20</v>
      </c>
      <c r="I142">
        <v>2</v>
      </c>
      <c r="J142">
        <v>2</v>
      </c>
      <c r="K142">
        <v>2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2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2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2</v>
      </c>
      <c r="U142" s="5">
        <f>IF((ContinuousStatsTable[[#This Row],[RepsRequested]]&gt;1),ContinuousStatsTable[[#This Row],[HalfWidth]],ContinuousStatsTable[[#This Row],[BatchMeansHalfWidth]])</f>
        <v>0</v>
      </c>
    </row>
    <row r="143" spans="1:21">
      <c r="A143" t="s">
        <v>67</v>
      </c>
      <c r="B143" t="s">
        <v>70</v>
      </c>
      <c r="C143">
        <v>16</v>
      </c>
      <c r="D143" t="s">
        <v>95</v>
      </c>
      <c r="E143" t="s">
        <v>91</v>
      </c>
      <c r="F143" t="s">
        <v>92</v>
      </c>
      <c r="G143">
        <v>0.70355278047376502</v>
      </c>
      <c r="H143">
        <v>3E+20</v>
      </c>
      <c r="I143">
        <v>0</v>
      </c>
      <c r="J143">
        <v>1</v>
      </c>
      <c r="K143">
        <v>0.5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0.62568527922134098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0.72090720879040104</v>
      </c>
      <c r="U143" s="5">
        <f>IF((ContinuousStatsTable[[#This Row],[RepsRequested]]&gt;1),ContinuousStatsTable[[#This Row],[HalfWidth]],ContinuousStatsTable[[#This Row],[BatchMeansHalfWidth]])</f>
        <v>9.4948322151438332E-3</v>
      </c>
    </row>
    <row r="144" spans="1:21">
      <c r="A144" t="s">
        <v>67</v>
      </c>
      <c r="B144" t="s">
        <v>70</v>
      </c>
      <c r="C144">
        <v>16</v>
      </c>
      <c r="D144" t="s">
        <v>95</v>
      </c>
      <c r="E144" t="s">
        <v>93</v>
      </c>
      <c r="F144" t="s">
        <v>92</v>
      </c>
      <c r="G144">
        <v>1.40710556094753</v>
      </c>
      <c r="H144">
        <v>3E+20</v>
      </c>
      <c r="I144">
        <v>0</v>
      </c>
      <c r="J144">
        <v>2</v>
      </c>
      <c r="K144">
        <v>1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1.25137055844268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1.4418144175808001</v>
      </c>
      <c r="U144" s="5">
        <f>IF((ContinuousStatsTable[[#This Row],[RepsRequested]]&gt;1),ContinuousStatsTable[[#This Row],[HalfWidth]],ContinuousStatsTable[[#This Row],[BatchMeansHalfWidth]])</f>
        <v>1.8989664430287469E-2</v>
      </c>
    </row>
    <row r="145" spans="1:21">
      <c r="A145" t="s">
        <v>67</v>
      </c>
      <c r="B145" t="s">
        <v>70</v>
      </c>
      <c r="C145">
        <v>16</v>
      </c>
      <c r="D145" t="s">
        <v>95</v>
      </c>
      <c r="E145" t="s">
        <v>94</v>
      </c>
      <c r="F145" t="s">
        <v>92</v>
      </c>
      <c r="G145">
        <v>2</v>
      </c>
      <c r="H145">
        <v>2E+20</v>
      </c>
      <c r="I145">
        <v>2</v>
      </c>
      <c r="J145">
        <v>2</v>
      </c>
      <c r="K145">
        <v>2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2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2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2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>
      <c r="A146" t="s">
        <v>67</v>
      </c>
      <c r="B146" t="s">
        <v>70</v>
      </c>
      <c r="C146">
        <v>17</v>
      </c>
      <c r="D146" t="s">
        <v>71</v>
      </c>
      <c r="E146" t="s">
        <v>88</v>
      </c>
      <c r="F146" t="s">
        <v>73</v>
      </c>
      <c r="G146">
        <v>6.0287004483482498</v>
      </c>
      <c r="H146">
        <v>3E+20</v>
      </c>
      <c r="I146">
        <v>0</v>
      </c>
      <c r="J146">
        <v>19</v>
      </c>
      <c r="K146">
        <v>3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4.1194471364998897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8.3550459526658596</v>
      </c>
      <c r="U146" s="5">
        <f>IF((ContinuousStatsTable[[#This Row],[RepsRequested]]&gt;1),ContinuousStatsTable[[#This Row],[HalfWidth]],ContinuousStatsTable[[#This Row],[BatchMeansHalfWidth]])</f>
        <v>0.33154533313227752</v>
      </c>
    </row>
    <row r="147" spans="1:21">
      <c r="A147" t="s">
        <v>67</v>
      </c>
      <c r="B147" t="s">
        <v>70</v>
      </c>
      <c r="C147">
        <v>17</v>
      </c>
      <c r="D147" t="s">
        <v>79</v>
      </c>
      <c r="E147" t="s">
        <v>89</v>
      </c>
      <c r="F147" t="s">
        <v>81</v>
      </c>
      <c r="G147">
        <v>6.7438963919733197E-2</v>
      </c>
      <c r="H147">
        <v>2.2506065594558599E-2</v>
      </c>
      <c r="I147">
        <v>0</v>
      </c>
      <c r="J147">
        <v>2</v>
      </c>
      <c r="K147">
        <v>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4.2893123096714503E-2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8.2167854080019698E-2</v>
      </c>
      <c r="U147" s="5">
        <f>IF((ContinuousStatsTable[[#This Row],[RepsRequested]]&gt;1),ContinuousStatsTable[[#This Row],[HalfWidth]],ContinuousStatsTable[[#This Row],[BatchMeansHalfWidth]])</f>
        <v>3.7191130285907097E-3</v>
      </c>
    </row>
    <row r="148" spans="1:21">
      <c r="A148" t="s">
        <v>67</v>
      </c>
      <c r="B148" t="s">
        <v>70</v>
      </c>
      <c r="C148">
        <v>17</v>
      </c>
      <c r="D148" t="s">
        <v>82</v>
      </c>
      <c r="E148" t="s">
        <v>89</v>
      </c>
      <c r="F148" t="s">
        <v>81</v>
      </c>
      <c r="G148">
        <v>2.9114853793272601</v>
      </c>
      <c r="H148">
        <v>3E+20</v>
      </c>
      <c r="I148">
        <v>0</v>
      </c>
      <c r="J148">
        <v>15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1.16047720119272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5.0272524622418899</v>
      </c>
      <c r="U148" s="5">
        <f>IF((ContinuousStatsTable[[#This Row],[RepsRequested]]&gt;1),ContinuousStatsTable[[#This Row],[HalfWidth]],ContinuousStatsTable[[#This Row],[BatchMeansHalfWidth]])</f>
        <v>0.29961479841885524</v>
      </c>
    </row>
    <row r="149" spans="1:21">
      <c r="A149" t="s">
        <v>67</v>
      </c>
      <c r="B149" t="s">
        <v>70</v>
      </c>
      <c r="C149">
        <v>17</v>
      </c>
      <c r="D149" t="s">
        <v>90</v>
      </c>
      <c r="E149" t="s">
        <v>91</v>
      </c>
      <c r="F149" t="s">
        <v>92</v>
      </c>
      <c r="G149">
        <v>0.84482762161123504</v>
      </c>
      <c r="H149">
        <v>2E+20</v>
      </c>
      <c r="I149">
        <v>0</v>
      </c>
      <c r="J149">
        <v>1</v>
      </c>
      <c r="K149">
        <v>0.5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0.79563957753275305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0.91388224334429202</v>
      </c>
      <c r="U149" s="5">
        <f>IF((ContinuousStatsTable[[#This Row],[RepsRequested]]&gt;1),ContinuousStatsTable[[#This Row],[HalfWidth]],ContinuousStatsTable[[#This Row],[BatchMeansHalfWidth]])</f>
        <v>1.1109852606791693E-2</v>
      </c>
    </row>
    <row r="150" spans="1:21">
      <c r="A150" t="s">
        <v>67</v>
      </c>
      <c r="B150" t="s">
        <v>70</v>
      </c>
      <c r="C150">
        <v>17</v>
      </c>
      <c r="D150" t="s">
        <v>90</v>
      </c>
      <c r="E150" t="s">
        <v>93</v>
      </c>
      <c r="F150" t="s">
        <v>92</v>
      </c>
      <c r="G150">
        <v>1.6896552432224701</v>
      </c>
      <c r="H150">
        <v>2E+20</v>
      </c>
      <c r="I150">
        <v>0</v>
      </c>
      <c r="J150">
        <v>2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1.5912791550655101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1.82776448668858</v>
      </c>
      <c r="U150" s="5">
        <f>IF((ContinuousStatsTable[[#This Row],[RepsRequested]]&gt;1),ContinuousStatsTable[[#This Row],[HalfWidth]],ContinuousStatsTable[[#This Row],[BatchMeansHalfWidth]])</f>
        <v>2.2219705213583314E-2</v>
      </c>
    </row>
    <row r="151" spans="1:21">
      <c r="A151" t="s">
        <v>67</v>
      </c>
      <c r="B151" t="s">
        <v>70</v>
      </c>
      <c r="C151">
        <v>17</v>
      </c>
      <c r="D151" t="s">
        <v>90</v>
      </c>
      <c r="E151" t="s">
        <v>94</v>
      </c>
      <c r="F151" t="s">
        <v>92</v>
      </c>
      <c r="G151">
        <v>2</v>
      </c>
      <c r="H151">
        <v>2E+20</v>
      </c>
      <c r="I151">
        <v>2</v>
      </c>
      <c r="J151">
        <v>2</v>
      </c>
      <c r="K151">
        <v>2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2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2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2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>
      <c r="A152" t="s">
        <v>67</v>
      </c>
      <c r="B152" t="s">
        <v>70</v>
      </c>
      <c r="C152">
        <v>17</v>
      </c>
      <c r="D152" t="s">
        <v>95</v>
      </c>
      <c r="E152" t="s">
        <v>91</v>
      </c>
      <c r="F152" t="s">
        <v>92</v>
      </c>
      <c r="G152">
        <v>0.68006043093939506</v>
      </c>
      <c r="H152">
        <v>4.4850620944933799E-2</v>
      </c>
      <c r="I152">
        <v>0</v>
      </c>
      <c r="J152">
        <v>1</v>
      </c>
      <c r="K152">
        <v>1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30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0.62568527922134098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0.72090720879040104</v>
      </c>
      <c r="U152" s="5">
        <f>IF((ContinuousStatsTable[[#This Row],[RepsRequested]]&gt;1),ContinuousStatsTable[[#This Row],[HalfWidth]],ContinuousStatsTable[[#This Row],[BatchMeansHalfWidth]])</f>
        <v>9.4948322151438332E-3</v>
      </c>
    </row>
    <row r="153" spans="1:21">
      <c r="A153" t="s">
        <v>67</v>
      </c>
      <c r="B153" t="s">
        <v>70</v>
      </c>
      <c r="C153">
        <v>17</v>
      </c>
      <c r="D153" t="s">
        <v>95</v>
      </c>
      <c r="E153" t="s">
        <v>93</v>
      </c>
      <c r="F153" t="s">
        <v>92</v>
      </c>
      <c r="G153">
        <v>1.3601208618787901</v>
      </c>
      <c r="H153">
        <v>8.97012418898675E-2</v>
      </c>
      <c r="I153">
        <v>0</v>
      </c>
      <c r="J153">
        <v>2</v>
      </c>
      <c r="K153">
        <v>2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30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1.25137055844268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1.4418144175808001</v>
      </c>
      <c r="U153" s="5">
        <f>IF((ContinuousStatsTable[[#This Row],[RepsRequested]]&gt;1),ContinuousStatsTable[[#This Row],[HalfWidth]],ContinuousStatsTable[[#This Row],[BatchMeansHalfWidth]])</f>
        <v>1.8989664430287469E-2</v>
      </c>
    </row>
    <row r="154" spans="1:21">
      <c r="A154" t="s">
        <v>67</v>
      </c>
      <c r="B154" t="s">
        <v>70</v>
      </c>
      <c r="C154">
        <v>17</v>
      </c>
      <c r="D154" t="s">
        <v>95</v>
      </c>
      <c r="E154" t="s">
        <v>94</v>
      </c>
      <c r="F154" t="s">
        <v>92</v>
      </c>
      <c r="G154">
        <v>2</v>
      </c>
      <c r="H154">
        <v>2E+20</v>
      </c>
      <c r="I154">
        <v>2</v>
      </c>
      <c r="J154">
        <v>2</v>
      </c>
      <c r="K154">
        <v>2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30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2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2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2</v>
      </c>
      <c r="U154" s="5">
        <f>IF((ContinuousStatsTable[[#This Row],[RepsRequested]]&gt;1),ContinuousStatsTable[[#This Row],[HalfWidth]],ContinuousStatsTable[[#This Row],[BatchMeansHalfWidth]])</f>
        <v>0</v>
      </c>
    </row>
    <row r="155" spans="1:21">
      <c r="A155" t="s">
        <v>67</v>
      </c>
      <c r="B155" t="s">
        <v>70</v>
      </c>
      <c r="C155">
        <v>18</v>
      </c>
      <c r="D155" t="s">
        <v>71</v>
      </c>
      <c r="E155" t="s">
        <v>88</v>
      </c>
      <c r="F155" t="s">
        <v>73</v>
      </c>
      <c r="G155">
        <v>4.4381496208951603</v>
      </c>
      <c r="H155">
        <v>3E+20</v>
      </c>
      <c r="I155">
        <v>0</v>
      </c>
      <c r="J155">
        <v>14</v>
      </c>
      <c r="K155">
        <v>6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30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4.1194471364998897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8.3550459526658596</v>
      </c>
      <c r="U155" s="5">
        <f>IF((ContinuousStatsTable[[#This Row],[RepsRequested]]&gt;1),ContinuousStatsTable[[#This Row],[HalfWidth]],ContinuousStatsTable[[#This Row],[BatchMeansHalfWidth]])</f>
        <v>0.33154533313227752</v>
      </c>
    </row>
    <row r="156" spans="1:21">
      <c r="A156" t="s">
        <v>67</v>
      </c>
      <c r="B156" t="s">
        <v>70</v>
      </c>
      <c r="C156">
        <v>18</v>
      </c>
      <c r="D156" t="s">
        <v>79</v>
      </c>
      <c r="E156" t="s">
        <v>89</v>
      </c>
      <c r="F156" t="s">
        <v>81</v>
      </c>
      <c r="G156">
        <v>6.13937997166637E-2</v>
      </c>
      <c r="H156">
        <v>1.8213577399079101E-2</v>
      </c>
      <c r="I156">
        <v>0</v>
      </c>
      <c r="J156">
        <v>2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30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4.2893123096714503E-2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8.2167854080019698E-2</v>
      </c>
      <c r="U156" s="5">
        <f>IF((ContinuousStatsTable[[#This Row],[RepsRequested]]&gt;1),ContinuousStatsTable[[#This Row],[HalfWidth]],ContinuousStatsTable[[#This Row],[BatchMeansHalfWidth]])</f>
        <v>3.7191130285907097E-3</v>
      </c>
    </row>
    <row r="157" spans="1:21">
      <c r="A157" t="s">
        <v>67</v>
      </c>
      <c r="B157" t="s">
        <v>70</v>
      </c>
      <c r="C157">
        <v>18</v>
      </c>
      <c r="D157" t="s">
        <v>82</v>
      </c>
      <c r="E157" t="s">
        <v>89</v>
      </c>
      <c r="F157" t="s">
        <v>81</v>
      </c>
      <c r="G157">
        <v>1.43932817960493</v>
      </c>
      <c r="H157">
        <v>3E+20</v>
      </c>
      <c r="I157">
        <v>0</v>
      </c>
      <c r="J157">
        <v>10</v>
      </c>
      <c r="K157">
        <v>2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30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1.16047720119272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5.0272524622418899</v>
      </c>
      <c r="U157" s="5">
        <f>IF((ContinuousStatsTable[[#This Row],[RepsRequested]]&gt;1),ContinuousStatsTable[[#This Row],[HalfWidth]],ContinuousStatsTable[[#This Row],[BatchMeansHalfWidth]])</f>
        <v>0.29961479841885524</v>
      </c>
    </row>
    <row r="158" spans="1:21">
      <c r="A158" t="s">
        <v>67</v>
      </c>
      <c r="B158" t="s">
        <v>70</v>
      </c>
      <c r="C158">
        <v>18</v>
      </c>
      <c r="D158" t="s">
        <v>90</v>
      </c>
      <c r="E158" t="s">
        <v>91</v>
      </c>
      <c r="F158" t="s">
        <v>92</v>
      </c>
      <c r="G158">
        <v>0.81030863554368704</v>
      </c>
      <c r="H158">
        <v>5.7580975718885902E-2</v>
      </c>
      <c r="I158">
        <v>0</v>
      </c>
      <c r="J158">
        <v>1</v>
      </c>
      <c r="K158">
        <v>1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30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0.79563957753275305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0.91388224334429202</v>
      </c>
      <c r="U158" s="5">
        <f>IF((ContinuousStatsTable[[#This Row],[RepsRequested]]&gt;1),ContinuousStatsTable[[#This Row],[HalfWidth]],ContinuousStatsTable[[#This Row],[BatchMeansHalfWidth]])</f>
        <v>1.1109852606791693E-2</v>
      </c>
    </row>
    <row r="159" spans="1:21">
      <c r="A159" t="s">
        <v>67</v>
      </c>
      <c r="B159" t="s">
        <v>70</v>
      </c>
      <c r="C159">
        <v>18</v>
      </c>
      <c r="D159" t="s">
        <v>90</v>
      </c>
      <c r="E159" t="s">
        <v>93</v>
      </c>
      <c r="F159" t="s">
        <v>92</v>
      </c>
      <c r="G159">
        <v>1.6206172710873701</v>
      </c>
      <c r="H159">
        <v>0.115161951437772</v>
      </c>
      <c r="I159">
        <v>0</v>
      </c>
      <c r="J159">
        <v>2</v>
      </c>
      <c r="K159">
        <v>2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30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1.5912791550655101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1.82776448668858</v>
      </c>
      <c r="U159" s="5">
        <f>IF((ContinuousStatsTable[[#This Row],[RepsRequested]]&gt;1),ContinuousStatsTable[[#This Row],[HalfWidth]],ContinuousStatsTable[[#This Row],[BatchMeansHalfWidth]])</f>
        <v>2.2219705213583314E-2</v>
      </c>
    </row>
    <row r="160" spans="1:21">
      <c r="A160" t="s">
        <v>67</v>
      </c>
      <c r="B160" t="s">
        <v>70</v>
      </c>
      <c r="C160">
        <v>18</v>
      </c>
      <c r="D160" t="s">
        <v>90</v>
      </c>
      <c r="E160" t="s">
        <v>94</v>
      </c>
      <c r="F160" t="s">
        <v>92</v>
      </c>
      <c r="G160">
        <v>2</v>
      </c>
      <c r="H160">
        <v>2E+20</v>
      </c>
      <c r="I160">
        <v>2</v>
      </c>
      <c r="J160">
        <v>2</v>
      </c>
      <c r="K160">
        <v>2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30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2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2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2</v>
      </c>
      <c r="U160" s="5">
        <f>IF((ContinuousStatsTable[[#This Row],[RepsRequested]]&gt;1),ContinuousStatsTable[[#This Row],[HalfWidth]],ContinuousStatsTable[[#This Row],[BatchMeansHalfWidth]])</f>
        <v>0</v>
      </c>
    </row>
    <row r="161" spans="1:21">
      <c r="A161" t="s">
        <v>67</v>
      </c>
      <c r="B161" t="s">
        <v>70</v>
      </c>
      <c r="C161">
        <v>18</v>
      </c>
      <c r="D161" t="s">
        <v>95</v>
      </c>
      <c r="E161" t="s">
        <v>91</v>
      </c>
      <c r="F161" t="s">
        <v>92</v>
      </c>
      <c r="G161">
        <v>0.65840518524309799</v>
      </c>
      <c r="H161">
        <v>5.4134171046132003E-2</v>
      </c>
      <c r="I161">
        <v>0</v>
      </c>
      <c r="J161">
        <v>1</v>
      </c>
      <c r="K161">
        <v>1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30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0.62568527922134098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0.72090720879040104</v>
      </c>
      <c r="U161" s="5">
        <f>IF((ContinuousStatsTable[[#This Row],[RepsRequested]]&gt;1),ContinuousStatsTable[[#This Row],[HalfWidth]],ContinuousStatsTable[[#This Row],[BatchMeansHalfWidth]])</f>
        <v>9.4948322151438332E-3</v>
      </c>
    </row>
    <row r="162" spans="1:21">
      <c r="A162" t="s">
        <v>67</v>
      </c>
      <c r="B162" t="s">
        <v>70</v>
      </c>
      <c r="C162">
        <v>18</v>
      </c>
      <c r="D162" t="s">
        <v>95</v>
      </c>
      <c r="E162" t="s">
        <v>93</v>
      </c>
      <c r="F162" t="s">
        <v>92</v>
      </c>
      <c r="G162">
        <v>1.3168103704862</v>
      </c>
      <c r="H162">
        <v>0.10826834209226401</v>
      </c>
      <c r="I162">
        <v>0</v>
      </c>
      <c r="J162">
        <v>2</v>
      </c>
      <c r="K162">
        <v>2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30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1.25137055844268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1.4418144175808001</v>
      </c>
      <c r="U162" s="5">
        <f>IF((ContinuousStatsTable[[#This Row],[RepsRequested]]&gt;1),ContinuousStatsTable[[#This Row],[HalfWidth]],ContinuousStatsTable[[#This Row],[BatchMeansHalfWidth]])</f>
        <v>1.8989664430287469E-2</v>
      </c>
    </row>
    <row r="163" spans="1:21">
      <c r="A163" t="s">
        <v>67</v>
      </c>
      <c r="B163" t="s">
        <v>70</v>
      </c>
      <c r="C163">
        <v>18</v>
      </c>
      <c r="D163" t="s">
        <v>95</v>
      </c>
      <c r="E163" t="s">
        <v>94</v>
      </c>
      <c r="F163" t="s">
        <v>92</v>
      </c>
      <c r="G163">
        <v>2</v>
      </c>
      <c r="H163">
        <v>2E+20</v>
      </c>
      <c r="I163">
        <v>2</v>
      </c>
      <c r="J163">
        <v>2</v>
      </c>
      <c r="K163">
        <v>2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30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2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2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2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>
      <c r="A164" t="s">
        <v>67</v>
      </c>
      <c r="B164" t="s">
        <v>70</v>
      </c>
      <c r="C164">
        <v>19</v>
      </c>
      <c r="D164" t="s">
        <v>71</v>
      </c>
      <c r="E164" t="s">
        <v>88</v>
      </c>
      <c r="F164" t="s">
        <v>73</v>
      </c>
      <c r="G164">
        <v>5.0871638693569201</v>
      </c>
      <c r="H164">
        <v>3E+20</v>
      </c>
      <c r="I164">
        <v>0</v>
      </c>
      <c r="J164">
        <v>15</v>
      </c>
      <c r="K164">
        <v>2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30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4.1194471364998897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8.3550459526658596</v>
      </c>
      <c r="U164" s="5">
        <f>IF((ContinuousStatsTable[[#This Row],[RepsRequested]]&gt;1),ContinuousStatsTable[[#This Row],[HalfWidth]],ContinuousStatsTable[[#This Row],[BatchMeansHalfWidth]])</f>
        <v>0.33154533313227752</v>
      </c>
    </row>
    <row r="165" spans="1:21">
      <c r="A165" t="s">
        <v>67</v>
      </c>
      <c r="B165" t="s">
        <v>70</v>
      </c>
      <c r="C165">
        <v>19</v>
      </c>
      <c r="D165" t="s">
        <v>79</v>
      </c>
      <c r="E165" t="s">
        <v>89</v>
      </c>
      <c r="F165" t="s">
        <v>81</v>
      </c>
      <c r="G165">
        <v>4.9751822390849097E-2</v>
      </c>
      <c r="H165">
        <v>2E+20</v>
      </c>
      <c r="I165">
        <v>0</v>
      </c>
      <c r="J165">
        <v>2</v>
      </c>
      <c r="K165">
        <v>0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30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4.2893123096714503E-2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8.2167854080019698E-2</v>
      </c>
      <c r="U165" s="5">
        <f>IF((ContinuousStatsTable[[#This Row],[RepsRequested]]&gt;1),ContinuousStatsTable[[#This Row],[HalfWidth]],ContinuousStatsTable[[#This Row],[BatchMeansHalfWidth]])</f>
        <v>3.7191130285907097E-3</v>
      </c>
    </row>
    <row r="166" spans="1:21">
      <c r="A166" t="s">
        <v>67</v>
      </c>
      <c r="B166" t="s">
        <v>70</v>
      </c>
      <c r="C166">
        <v>19</v>
      </c>
      <c r="D166" t="s">
        <v>82</v>
      </c>
      <c r="E166" t="s">
        <v>89</v>
      </c>
      <c r="F166" t="s">
        <v>81</v>
      </c>
      <c r="G166">
        <v>1.9539834357138399</v>
      </c>
      <c r="H166">
        <v>3E+20</v>
      </c>
      <c r="I166">
        <v>0</v>
      </c>
      <c r="J166">
        <v>12</v>
      </c>
      <c r="K166">
        <v>0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30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1.16047720119272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5.0272524622418899</v>
      </c>
      <c r="U166" s="5">
        <f>IF((ContinuousStatsTable[[#This Row],[RepsRequested]]&gt;1),ContinuousStatsTable[[#This Row],[HalfWidth]],ContinuousStatsTable[[#This Row],[BatchMeansHalfWidth]])</f>
        <v>0.29961479841885524</v>
      </c>
    </row>
    <row r="167" spans="1:21">
      <c r="A167" t="s">
        <v>67</v>
      </c>
      <c r="B167" t="s">
        <v>70</v>
      </c>
      <c r="C167">
        <v>19</v>
      </c>
      <c r="D167" t="s">
        <v>90</v>
      </c>
      <c r="E167" t="s">
        <v>91</v>
      </c>
      <c r="F167" t="s">
        <v>92</v>
      </c>
      <c r="G167">
        <v>0.87232463798078397</v>
      </c>
      <c r="H167">
        <v>3.87259457663503E-2</v>
      </c>
      <c r="I167">
        <v>0</v>
      </c>
      <c r="J167">
        <v>1</v>
      </c>
      <c r="K167">
        <v>0.5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30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0.79563957753275305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0.91388224334429202</v>
      </c>
      <c r="U167" s="5">
        <f>IF((ContinuousStatsTable[[#This Row],[RepsRequested]]&gt;1),ContinuousStatsTable[[#This Row],[HalfWidth]],ContinuousStatsTable[[#This Row],[BatchMeansHalfWidth]])</f>
        <v>1.1109852606791693E-2</v>
      </c>
    </row>
    <row r="168" spans="1:21">
      <c r="A168" t="s">
        <v>67</v>
      </c>
      <c r="B168" t="s">
        <v>70</v>
      </c>
      <c r="C168">
        <v>19</v>
      </c>
      <c r="D168" t="s">
        <v>90</v>
      </c>
      <c r="E168" t="s">
        <v>93</v>
      </c>
      <c r="F168" t="s">
        <v>92</v>
      </c>
      <c r="G168">
        <v>1.7446492759615699</v>
      </c>
      <c r="H168">
        <v>7.7451891532700601E-2</v>
      </c>
      <c r="I168">
        <v>0</v>
      </c>
      <c r="J168">
        <v>2</v>
      </c>
      <c r="K168">
        <v>1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30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1.5912791550655101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1.82776448668858</v>
      </c>
      <c r="U168" s="5">
        <f>IF((ContinuousStatsTable[[#This Row],[RepsRequested]]&gt;1),ContinuousStatsTable[[#This Row],[HalfWidth]],ContinuousStatsTable[[#This Row],[BatchMeansHalfWidth]])</f>
        <v>2.2219705213583314E-2</v>
      </c>
    </row>
    <row r="169" spans="1:21">
      <c r="A169" t="s">
        <v>67</v>
      </c>
      <c r="B169" t="s">
        <v>70</v>
      </c>
      <c r="C169">
        <v>19</v>
      </c>
      <c r="D169" t="s">
        <v>90</v>
      </c>
      <c r="E169" t="s">
        <v>94</v>
      </c>
      <c r="F169" t="s">
        <v>92</v>
      </c>
      <c r="G169">
        <v>2</v>
      </c>
      <c r="H169">
        <v>2E+20</v>
      </c>
      <c r="I169">
        <v>2</v>
      </c>
      <c r="J169">
        <v>2</v>
      </c>
      <c r="K169">
        <v>2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30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2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2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2</v>
      </c>
      <c r="U169" s="5">
        <f>IF((ContinuousStatsTable[[#This Row],[RepsRequested]]&gt;1),ContinuousStatsTable[[#This Row],[HalfWidth]],ContinuousStatsTable[[#This Row],[BatchMeansHalfWidth]])</f>
        <v>0</v>
      </c>
    </row>
    <row r="170" spans="1:21">
      <c r="A170" t="s">
        <v>67</v>
      </c>
      <c r="B170" t="s">
        <v>70</v>
      </c>
      <c r="C170">
        <v>19</v>
      </c>
      <c r="D170" t="s">
        <v>95</v>
      </c>
      <c r="E170" t="s">
        <v>91</v>
      </c>
      <c r="F170" t="s">
        <v>92</v>
      </c>
      <c r="G170">
        <v>0.66938966764532803</v>
      </c>
      <c r="H170">
        <v>3.4034728276987801E-2</v>
      </c>
      <c r="I170">
        <v>0</v>
      </c>
      <c r="J170">
        <v>1</v>
      </c>
      <c r="K170">
        <v>0.5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30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0.62568527922134098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0.72090720879040104</v>
      </c>
      <c r="U170" s="5">
        <f>IF((ContinuousStatsTable[[#This Row],[RepsRequested]]&gt;1),ContinuousStatsTable[[#This Row],[HalfWidth]],ContinuousStatsTable[[#This Row],[BatchMeansHalfWidth]])</f>
        <v>9.4948322151438332E-3</v>
      </c>
    </row>
    <row r="171" spans="1:21">
      <c r="A171" t="s">
        <v>67</v>
      </c>
      <c r="B171" t="s">
        <v>70</v>
      </c>
      <c r="C171">
        <v>19</v>
      </c>
      <c r="D171" t="s">
        <v>95</v>
      </c>
      <c r="E171" t="s">
        <v>93</v>
      </c>
      <c r="F171" t="s">
        <v>92</v>
      </c>
      <c r="G171">
        <v>1.3387793352906601</v>
      </c>
      <c r="H171">
        <v>6.8069456553975699E-2</v>
      </c>
      <c r="I171">
        <v>0</v>
      </c>
      <c r="J171">
        <v>2</v>
      </c>
      <c r="K171">
        <v>1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30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1.25137055844268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1.4418144175808001</v>
      </c>
      <c r="U171" s="5">
        <f>IF((ContinuousStatsTable[[#This Row],[RepsRequested]]&gt;1),ContinuousStatsTable[[#This Row],[HalfWidth]],ContinuousStatsTable[[#This Row],[BatchMeansHalfWidth]])</f>
        <v>1.8989664430287469E-2</v>
      </c>
    </row>
    <row r="172" spans="1:21">
      <c r="A172" t="s">
        <v>67</v>
      </c>
      <c r="B172" t="s">
        <v>70</v>
      </c>
      <c r="C172">
        <v>19</v>
      </c>
      <c r="D172" t="s">
        <v>95</v>
      </c>
      <c r="E172" t="s">
        <v>94</v>
      </c>
      <c r="F172" t="s">
        <v>92</v>
      </c>
      <c r="G172">
        <v>2</v>
      </c>
      <c r="H172">
        <v>2E+20</v>
      </c>
      <c r="I172">
        <v>2</v>
      </c>
      <c r="J172">
        <v>2</v>
      </c>
      <c r="K172">
        <v>2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30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2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2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2</v>
      </c>
      <c r="U172" s="5">
        <f>IF((ContinuousStatsTable[[#This Row],[RepsRequested]]&gt;1),ContinuousStatsTable[[#This Row],[HalfWidth]],ContinuousStatsTable[[#This Row],[BatchMeansHalfWidth]])</f>
        <v>0</v>
      </c>
    </row>
    <row r="173" spans="1:21">
      <c r="A173" t="s">
        <v>67</v>
      </c>
      <c r="B173" t="s">
        <v>70</v>
      </c>
      <c r="C173">
        <v>20</v>
      </c>
      <c r="D173" t="s">
        <v>71</v>
      </c>
      <c r="E173" t="s">
        <v>88</v>
      </c>
      <c r="F173" t="s">
        <v>73</v>
      </c>
      <c r="G173">
        <v>4.8237719813216602</v>
      </c>
      <c r="H173">
        <v>3E+20</v>
      </c>
      <c r="I173">
        <v>0</v>
      </c>
      <c r="J173">
        <v>16</v>
      </c>
      <c r="K173">
        <v>6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30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4.1194471364998897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8.3550459526658596</v>
      </c>
      <c r="U173" s="5">
        <f>IF((ContinuousStatsTable[[#This Row],[RepsRequested]]&gt;1),ContinuousStatsTable[[#This Row],[HalfWidth]],ContinuousStatsTable[[#This Row],[BatchMeansHalfWidth]])</f>
        <v>0.33154533313227752</v>
      </c>
    </row>
    <row r="174" spans="1:21">
      <c r="A174" t="s">
        <v>67</v>
      </c>
      <c r="B174" t="s">
        <v>70</v>
      </c>
      <c r="C174">
        <v>20</v>
      </c>
      <c r="D174" t="s">
        <v>79</v>
      </c>
      <c r="E174" t="s">
        <v>89</v>
      </c>
      <c r="F174" t="s">
        <v>81</v>
      </c>
      <c r="G174">
        <v>4.93476795191745E-2</v>
      </c>
      <c r="H174">
        <v>2E+20</v>
      </c>
      <c r="I174">
        <v>0</v>
      </c>
      <c r="J174">
        <v>2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30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4.2893123096714503E-2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8.2167854080019698E-2</v>
      </c>
      <c r="U174" s="5">
        <f>IF((ContinuousStatsTable[[#This Row],[RepsRequested]]&gt;1),ContinuousStatsTable[[#This Row],[HalfWidth]],ContinuousStatsTable[[#This Row],[BatchMeansHalfWidth]])</f>
        <v>3.7191130285907097E-3</v>
      </c>
    </row>
    <row r="175" spans="1:21">
      <c r="A175" t="s">
        <v>67</v>
      </c>
      <c r="B175" t="s">
        <v>70</v>
      </c>
      <c r="C175">
        <v>20</v>
      </c>
      <c r="D175" t="s">
        <v>82</v>
      </c>
      <c r="E175" t="s">
        <v>89</v>
      </c>
      <c r="F175" t="s">
        <v>81</v>
      </c>
      <c r="G175">
        <v>1.88719129843842</v>
      </c>
      <c r="H175">
        <v>3E+20</v>
      </c>
      <c r="I175">
        <v>0</v>
      </c>
      <c r="J175">
        <v>12</v>
      </c>
      <c r="K175">
        <v>2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30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1.16047720119272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5.0272524622418899</v>
      </c>
      <c r="U175" s="5">
        <f>IF((ContinuousStatsTable[[#This Row],[RepsRequested]]&gt;1),ContinuousStatsTable[[#This Row],[HalfWidth]],ContinuousStatsTable[[#This Row],[BatchMeansHalfWidth]])</f>
        <v>0.29961479841885524</v>
      </c>
    </row>
    <row r="176" spans="1:21">
      <c r="A176" t="s">
        <v>67</v>
      </c>
      <c r="B176" t="s">
        <v>70</v>
      </c>
      <c r="C176">
        <v>20</v>
      </c>
      <c r="D176" t="s">
        <v>90</v>
      </c>
      <c r="E176" t="s">
        <v>91</v>
      </c>
      <c r="F176" t="s">
        <v>92</v>
      </c>
      <c r="G176">
        <v>0.80260861505151904</v>
      </c>
      <c r="H176">
        <v>6.3721126592876307E-2</v>
      </c>
      <c r="I176">
        <v>0</v>
      </c>
      <c r="J176">
        <v>1</v>
      </c>
      <c r="K176">
        <v>1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30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0.79563957753275305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0.91388224334429202</v>
      </c>
      <c r="U176" s="5">
        <f>IF((ContinuousStatsTable[[#This Row],[RepsRequested]]&gt;1),ContinuousStatsTable[[#This Row],[HalfWidth]],ContinuousStatsTable[[#This Row],[BatchMeansHalfWidth]])</f>
        <v>1.1109852606791693E-2</v>
      </c>
    </row>
    <row r="177" spans="1:21">
      <c r="A177" t="s">
        <v>67</v>
      </c>
      <c r="B177" t="s">
        <v>70</v>
      </c>
      <c r="C177">
        <v>20</v>
      </c>
      <c r="D177" t="s">
        <v>90</v>
      </c>
      <c r="E177" t="s">
        <v>93</v>
      </c>
      <c r="F177" t="s">
        <v>92</v>
      </c>
      <c r="G177">
        <v>1.6052172301030401</v>
      </c>
      <c r="H177">
        <v>0.127442253185753</v>
      </c>
      <c r="I177">
        <v>0</v>
      </c>
      <c r="J177">
        <v>2</v>
      </c>
      <c r="K177">
        <v>2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30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1.5912791550655101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1.82776448668858</v>
      </c>
      <c r="U177" s="5">
        <f>IF((ContinuousStatsTable[[#This Row],[RepsRequested]]&gt;1),ContinuousStatsTable[[#This Row],[HalfWidth]],ContinuousStatsTable[[#This Row],[BatchMeansHalfWidth]])</f>
        <v>2.2219705213583314E-2</v>
      </c>
    </row>
    <row r="178" spans="1:21">
      <c r="A178" t="s">
        <v>67</v>
      </c>
      <c r="B178" t="s">
        <v>70</v>
      </c>
      <c r="C178">
        <v>20</v>
      </c>
      <c r="D178" t="s">
        <v>90</v>
      </c>
      <c r="E178" t="s">
        <v>94</v>
      </c>
      <c r="F178" t="s">
        <v>92</v>
      </c>
      <c r="G178">
        <v>2</v>
      </c>
      <c r="H178">
        <v>2E+20</v>
      </c>
      <c r="I178">
        <v>2</v>
      </c>
      <c r="J178">
        <v>2</v>
      </c>
      <c r="K178">
        <v>2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30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2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2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</v>
      </c>
      <c r="U178" s="5">
        <f>IF((ContinuousStatsTable[[#This Row],[RepsRequested]]&gt;1),ContinuousStatsTable[[#This Row],[HalfWidth]],ContinuousStatsTable[[#This Row],[BatchMeansHalfWidth]])</f>
        <v>0</v>
      </c>
    </row>
    <row r="179" spans="1:21">
      <c r="A179" t="s">
        <v>67</v>
      </c>
      <c r="B179" t="s">
        <v>70</v>
      </c>
      <c r="C179">
        <v>20</v>
      </c>
      <c r="D179" t="s">
        <v>95</v>
      </c>
      <c r="E179" t="s">
        <v>91</v>
      </c>
      <c r="F179" t="s">
        <v>92</v>
      </c>
      <c r="G179">
        <v>0.641007886630513</v>
      </c>
      <c r="H179">
        <v>5.6031453770688203E-2</v>
      </c>
      <c r="I179">
        <v>0</v>
      </c>
      <c r="J179">
        <v>1</v>
      </c>
      <c r="K179">
        <v>1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30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0.62568527922134098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0.72090720879040104</v>
      </c>
      <c r="U179" s="5">
        <f>IF((ContinuousStatsTable[[#This Row],[RepsRequested]]&gt;1),ContinuousStatsTable[[#This Row],[HalfWidth]],ContinuousStatsTable[[#This Row],[BatchMeansHalfWidth]])</f>
        <v>9.4948322151438332E-3</v>
      </c>
    </row>
    <row r="180" spans="1:21">
      <c r="A180" t="s">
        <v>67</v>
      </c>
      <c r="B180" t="s">
        <v>70</v>
      </c>
      <c r="C180">
        <v>20</v>
      </c>
      <c r="D180" t="s">
        <v>95</v>
      </c>
      <c r="E180" t="s">
        <v>93</v>
      </c>
      <c r="F180" t="s">
        <v>92</v>
      </c>
      <c r="G180">
        <v>1.28201577326103</v>
      </c>
      <c r="H180">
        <v>0.112062907541376</v>
      </c>
      <c r="I180">
        <v>0</v>
      </c>
      <c r="J180">
        <v>2</v>
      </c>
      <c r="K180">
        <v>2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30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1.25137055844268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1.4418144175808001</v>
      </c>
      <c r="U180" s="5">
        <f>IF((ContinuousStatsTable[[#This Row],[RepsRequested]]&gt;1),ContinuousStatsTable[[#This Row],[HalfWidth]],ContinuousStatsTable[[#This Row],[BatchMeansHalfWidth]])</f>
        <v>1.8989664430287469E-2</v>
      </c>
    </row>
    <row r="181" spans="1:21">
      <c r="A181" t="s">
        <v>67</v>
      </c>
      <c r="B181" t="s">
        <v>70</v>
      </c>
      <c r="C181">
        <v>20</v>
      </c>
      <c r="D181" t="s">
        <v>95</v>
      </c>
      <c r="E181" t="s">
        <v>94</v>
      </c>
      <c r="F181" t="s">
        <v>92</v>
      </c>
      <c r="G181">
        <v>2</v>
      </c>
      <c r="H181">
        <v>2E+20</v>
      </c>
      <c r="I181">
        <v>2</v>
      </c>
      <c r="J181">
        <v>2</v>
      </c>
      <c r="K181">
        <v>2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30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2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2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2</v>
      </c>
      <c r="U181" s="5">
        <f>IF((ContinuousStatsTable[[#This Row],[RepsRequested]]&gt;1),ContinuousStatsTable[[#This Row],[HalfWidth]],ContinuousStatsTable[[#This Row],[BatchMeansHalfWidth]])</f>
        <v>0</v>
      </c>
    </row>
    <row r="182" spans="1:21">
      <c r="A182" t="s">
        <v>67</v>
      </c>
      <c r="B182" t="s">
        <v>70</v>
      </c>
      <c r="C182">
        <v>21</v>
      </c>
      <c r="D182" t="s">
        <v>71</v>
      </c>
      <c r="E182" t="s">
        <v>88</v>
      </c>
      <c r="F182" t="s">
        <v>73</v>
      </c>
      <c r="G182">
        <v>5.2614381122320797</v>
      </c>
      <c r="H182">
        <v>0.74749378704222802</v>
      </c>
      <c r="I182">
        <v>0</v>
      </c>
      <c r="J182">
        <v>14</v>
      </c>
      <c r="K182">
        <v>2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30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4.1194471364998897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8.3550459526658596</v>
      </c>
      <c r="U182" s="5">
        <f>IF((ContinuousStatsTable[[#This Row],[RepsRequested]]&gt;1),ContinuousStatsTable[[#This Row],[HalfWidth]],ContinuousStatsTable[[#This Row],[BatchMeansHalfWidth]])</f>
        <v>0.33154533313227752</v>
      </c>
    </row>
    <row r="183" spans="1:21">
      <c r="A183" t="s">
        <v>67</v>
      </c>
      <c r="B183" t="s">
        <v>70</v>
      </c>
      <c r="C183">
        <v>21</v>
      </c>
      <c r="D183" t="s">
        <v>79</v>
      </c>
      <c r="E183" t="s">
        <v>89</v>
      </c>
      <c r="F183" t="s">
        <v>81</v>
      </c>
      <c r="G183">
        <v>7.5222392328512896E-2</v>
      </c>
      <c r="H183">
        <v>2.52269627028038E-2</v>
      </c>
      <c r="I183">
        <v>0</v>
      </c>
      <c r="J183">
        <v>2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30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4.2893123096714503E-2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8.2167854080019698E-2</v>
      </c>
      <c r="U183" s="5">
        <f>IF((ContinuousStatsTable[[#This Row],[RepsRequested]]&gt;1),ContinuousStatsTable[[#This Row],[HalfWidth]],ContinuousStatsTable[[#This Row],[BatchMeansHalfWidth]])</f>
        <v>3.7191130285907097E-3</v>
      </c>
    </row>
    <row r="184" spans="1:21">
      <c r="A184" t="s">
        <v>67</v>
      </c>
      <c r="B184" t="s">
        <v>70</v>
      </c>
      <c r="C184">
        <v>21</v>
      </c>
      <c r="D184" t="s">
        <v>82</v>
      </c>
      <c r="E184" t="s">
        <v>89</v>
      </c>
      <c r="F184" t="s">
        <v>81</v>
      </c>
      <c r="G184">
        <v>2.11438550124875</v>
      </c>
      <c r="H184">
        <v>0.62583941232589102</v>
      </c>
      <c r="I184">
        <v>0</v>
      </c>
      <c r="J184">
        <v>10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30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1.16047720119272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5.0272524622418899</v>
      </c>
      <c r="U184" s="5">
        <f>IF((ContinuousStatsTable[[#This Row],[RepsRequested]]&gt;1),ContinuousStatsTable[[#This Row],[HalfWidth]],ContinuousStatsTable[[#This Row],[BatchMeansHalfWidth]])</f>
        <v>0.29961479841885524</v>
      </c>
    </row>
    <row r="185" spans="1:21">
      <c r="A185" t="s">
        <v>67</v>
      </c>
      <c r="B185" t="s">
        <v>70</v>
      </c>
      <c r="C185">
        <v>21</v>
      </c>
      <c r="D185" t="s">
        <v>90</v>
      </c>
      <c r="E185" t="s">
        <v>91</v>
      </c>
      <c r="F185" t="s">
        <v>92</v>
      </c>
      <c r="G185">
        <v>0.851975189665935</v>
      </c>
      <c r="H185">
        <v>2E+20</v>
      </c>
      <c r="I185">
        <v>0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30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0.79563957753275305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0.91388224334429202</v>
      </c>
      <c r="U185" s="5">
        <f>IF((ContinuousStatsTable[[#This Row],[RepsRequested]]&gt;1),ContinuousStatsTable[[#This Row],[HalfWidth]],ContinuousStatsTable[[#This Row],[BatchMeansHalfWidth]])</f>
        <v>1.1109852606791693E-2</v>
      </c>
    </row>
    <row r="186" spans="1:21">
      <c r="A186" t="s">
        <v>67</v>
      </c>
      <c r="B186" t="s">
        <v>70</v>
      </c>
      <c r="C186">
        <v>21</v>
      </c>
      <c r="D186" t="s">
        <v>90</v>
      </c>
      <c r="E186" t="s">
        <v>93</v>
      </c>
      <c r="F186" t="s">
        <v>92</v>
      </c>
      <c r="G186">
        <v>1.70395037933187</v>
      </c>
      <c r="H186">
        <v>2E+20</v>
      </c>
      <c r="I186">
        <v>0</v>
      </c>
      <c r="J186">
        <v>2</v>
      </c>
      <c r="K186">
        <v>2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30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1.5912791550655101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1.82776448668858</v>
      </c>
      <c r="U186" s="5">
        <f>IF((ContinuousStatsTable[[#This Row],[RepsRequested]]&gt;1),ContinuousStatsTable[[#This Row],[HalfWidth]],ContinuousStatsTable[[#This Row],[BatchMeansHalfWidth]])</f>
        <v>2.2219705213583314E-2</v>
      </c>
    </row>
    <row r="187" spans="1:21">
      <c r="A187" t="s">
        <v>67</v>
      </c>
      <c r="B187" t="s">
        <v>70</v>
      </c>
      <c r="C187">
        <v>21</v>
      </c>
      <c r="D187" t="s">
        <v>90</v>
      </c>
      <c r="E187" t="s">
        <v>94</v>
      </c>
      <c r="F187" t="s">
        <v>92</v>
      </c>
      <c r="G187">
        <v>2</v>
      </c>
      <c r="H187">
        <v>2E+20</v>
      </c>
      <c r="I187">
        <v>2</v>
      </c>
      <c r="J187">
        <v>2</v>
      </c>
      <c r="K187">
        <v>2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30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2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2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2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>
      <c r="A188" t="s">
        <v>67</v>
      </c>
      <c r="B188" t="s">
        <v>70</v>
      </c>
      <c r="C188">
        <v>21</v>
      </c>
      <c r="D188" t="s">
        <v>95</v>
      </c>
      <c r="E188" t="s">
        <v>91</v>
      </c>
      <c r="F188" t="s">
        <v>92</v>
      </c>
      <c r="G188">
        <v>0.68393991966147405</v>
      </c>
      <c r="H188">
        <v>3.8785517096169501E-2</v>
      </c>
      <c r="I188">
        <v>0</v>
      </c>
      <c r="J188">
        <v>1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30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0.62568527922134098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0.72090720879040104</v>
      </c>
      <c r="U188" s="5">
        <f>IF((ContinuousStatsTable[[#This Row],[RepsRequested]]&gt;1),ContinuousStatsTable[[#This Row],[HalfWidth]],ContinuousStatsTable[[#This Row],[BatchMeansHalfWidth]])</f>
        <v>9.4948322151438332E-3</v>
      </c>
    </row>
    <row r="189" spans="1:21">
      <c r="A189" t="s">
        <v>67</v>
      </c>
      <c r="B189" t="s">
        <v>70</v>
      </c>
      <c r="C189">
        <v>21</v>
      </c>
      <c r="D189" t="s">
        <v>95</v>
      </c>
      <c r="E189" t="s">
        <v>93</v>
      </c>
      <c r="F189" t="s">
        <v>92</v>
      </c>
      <c r="G189">
        <v>1.3678798393229501</v>
      </c>
      <c r="H189">
        <v>7.7571034192339003E-2</v>
      </c>
      <c r="I189">
        <v>0</v>
      </c>
      <c r="J189">
        <v>2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30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1.25137055844268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1.4418144175808001</v>
      </c>
      <c r="U189" s="5">
        <f>IF((ContinuousStatsTable[[#This Row],[RepsRequested]]&gt;1),ContinuousStatsTable[[#This Row],[HalfWidth]],ContinuousStatsTable[[#This Row],[BatchMeansHalfWidth]])</f>
        <v>1.8989664430287469E-2</v>
      </c>
    </row>
    <row r="190" spans="1:21">
      <c r="A190" t="s">
        <v>67</v>
      </c>
      <c r="B190" t="s">
        <v>70</v>
      </c>
      <c r="C190">
        <v>21</v>
      </c>
      <c r="D190" t="s">
        <v>95</v>
      </c>
      <c r="E190" t="s">
        <v>94</v>
      </c>
      <c r="F190" t="s">
        <v>92</v>
      </c>
      <c r="G190">
        <v>2</v>
      </c>
      <c r="H190">
        <v>2E+20</v>
      </c>
      <c r="I190">
        <v>2</v>
      </c>
      <c r="J190">
        <v>2</v>
      </c>
      <c r="K190">
        <v>2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30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2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2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2</v>
      </c>
      <c r="U190" s="5">
        <f>IF((ContinuousStatsTable[[#This Row],[RepsRequested]]&gt;1),ContinuousStatsTable[[#This Row],[HalfWidth]],ContinuousStatsTable[[#This Row],[BatchMeansHalfWidth]])</f>
        <v>0</v>
      </c>
    </row>
    <row r="191" spans="1:21">
      <c r="A191" t="s">
        <v>67</v>
      </c>
      <c r="B191" t="s">
        <v>70</v>
      </c>
      <c r="C191">
        <v>22</v>
      </c>
      <c r="D191" t="s">
        <v>71</v>
      </c>
      <c r="E191" t="s">
        <v>88</v>
      </c>
      <c r="F191" t="s">
        <v>73</v>
      </c>
      <c r="G191">
        <v>4.4991144352622499</v>
      </c>
      <c r="H191">
        <v>3E+20</v>
      </c>
      <c r="I191">
        <v>0</v>
      </c>
      <c r="J191">
        <v>15</v>
      </c>
      <c r="K191">
        <v>1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30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4.1194471364998897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8.3550459526658596</v>
      </c>
      <c r="U191" s="5">
        <f>IF((ContinuousStatsTable[[#This Row],[RepsRequested]]&gt;1),ContinuousStatsTable[[#This Row],[HalfWidth]],ContinuousStatsTable[[#This Row],[BatchMeansHalfWidth]])</f>
        <v>0.33154533313227752</v>
      </c>
    </row>
    <row r="192" spans="1:21">
      <c r="A192" t="s">
        <v>67</v>
      </c>
      <c r="B192" t="s">
        <v>70</v>
      </c>
      <c r="C192">
        <v>22</v>
      </c>
      <c r="D192" t="s">
        <v>79</v>
      </c>
      <c r="E192" t="s">
        <v>89</v>
      </c>
      <c r="F192" t="s">
        <v>81</v>
      </c>
      <c r="G192">
        <v>5.9418244638529301E-2</v>
      </c>
      <c r="H192">
        <v>2E+20</v>
      </c>
      <c r="I192">
        <v>0</v>
      </c>
      <c r="J192">
        <v>2</v>
      </c>
      <c r="K192">
        <v>0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30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4.2893123096714503E-2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8.2167854080019698E-2</v>
      </c>
      <c r="U192" s="5">
        <f>IF((ContinuousStatsTable[[#This Row],[RepsRequested]]&gt;1),ContinuousStatsTable[[#This Row],[HalfWidth]],ContinuousStatsTable[[#This Row],[BatchMeansHalfWidth]])</f>
        <v>3.7191130285907097E-3</v>
      </c>
    </row>
    <row r="193" spans="1:21">
      <c r="A193" t="s">
        <v>67</v>
      </c>
      <c r="B193" t="s">
        <v>70</v>
      </c>
      <c r="C193">
        <v>22</v>
      </c>
      <c r="D193" t="s">
        <v>82</v>
      </c>
      <c r="E193" t="s">
        <v>89</v>
      </c>
      <c r="F193" t="s">
        <v>81</v>
      </c>
      <c r="G193">
        <v>1.4502636575240599</v>
      </c>
      <c r="H193">
        <v>3E+20</v>
      </c>
      <c r="I193">
        <v>0</v>
      </c>
      <c r="J193">
        <v>11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30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1.16047720119272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5.0272524622418899</v>
      </c>
      <c r="U193" s="5">
        <f>IF((ContinuousStatsTable[[#This Row],[RepsRequested]]&gt;1),ContinuousStatsTable[[#This Row],[HalfWidth]],ContinuousStatsTable[[#This Row],[BatchMeansHalfWidth]])</f>
        <v>0.29961479841885524</v>
      </c>
    </row>
    <row r="194" spans="1:21">
      <c r="A194" t="s">
        <v>67</v>
      </c>
      <c r="B194" t="s">
        <v>70</v>
      </c>
      <c r="C194">
        <v>22</v>
      </c>
      <c r="D194" t="s">
        <v>90</v>
      </c>
      <c r="E194" t="s">
        <v>91</v>
      </c>
      <c r="F194" t="s">
        <v>92</v>
      </c>
      <c r="G194">
        <v>0.82734821790328394</v>
      </c>
      <c r="H194">
        <v>5.6303961686792102E-2</v>
      </c>
      <c r="I194">
        <v>0</v>
      </c>
      <c r="J194">
        <v>1</v>
      </c>
      <c r="K194">
        <v>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30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0.79563957753275305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0.91388224334429202</v>
      </c>
      <c r="U194" s="5">
        <f>IF((ContinuousStatsTable[[#This Row],[RepsRequested]]&gt;1),ContinuousStatsTable[[#This Row],[HalfWidth]],ContinuousStatsTable[[#This Row],[BatchMeansHalfWidth]])</f>
        <v>1.1109852606791693E-2</v>
      </c>
    </row>
    <row r="195" spans="1:21">
      <c r="A195" t="s">
        <v>67</v>
      </c>
      <c r="B195" t="s">
        <v>70</v>
      </c>
      <c r="C195">
        <v>22</v>
      </c>
      <c r="D195" t="s">
        <v>90</v>
      </c>
      <c r="E195" t="s">
        <v>93</v>
      </c>
      <c r="F195" t="s">
        <v>92</v>
      </c>
      <c r="G195">
        <v>1.6546964358065701</v>
      </c>
      <c r="H195">
        <v>0.112607923373584</v>
      </c>
      <c r="I195">
        <v>0</v>
      </c>
      <c r="J195">
        <v>2</v>
      </c>
      <c r="K195">
        <v>0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30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1.5912791550655101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1.82776448668858</v>
      </c>
      <c r="U195" s="5">
        <f>IF((ContinuousStatsTable[[#This Row],[RepsRequested]]&gt;1),ContinuousStatsTable[[#This Row],[HalfWidth]],ContinuousStatsTable[[#This Row],[BatchMeansHalfWidth]])</f>
        <v>2.2219705213583314E-2</v>
      </c>
    </row>
    <row r="196" spans="1:21">
      <c r="A196" t="s">
        <v>67</v>
      </c>
      <c r="B196" t="s">
        <v>70</v>
      </c>
      <c r="C196">
        <v>22</v>
      </c>
      <c r="D196" t="s">
        <v>90</v>
      </c>
      <c r="E196" t="s">
        <v>94</v>
      </c>
      <c r="F196" t="s">
        <v>92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30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>
      <c r="A197" t="s">
        <v>67</v>
      </c>
      <c r="B197" t="s">
        <v>70</v>
      </c>
      <c r="C197">
        <v>22</v>
      </c>
      <c r="D197" t="s">
        <v>95</v>
      </c>
      <c r="E197" t="s">
        <v>91</v>
      </c>
      <c r="F197" t="s">
        <v>92</v>
      </c>
      <c r="G197">
        <v>0.66736804864654198</v>
      </c>
      <c r="H197">
        <v>4.91914180872371E-2</v>
      </c>
      <c r="I197">
        <v>0</v>
      </c>
      <c r="J197">
        <v>1</v>
      </c>
      <c r="K197">
        <v>0.5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30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0.62568527922134098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0.72090720879040104</v>
      </c>
      <c r="U197" s="5">
        <f>IF((ContinuousStatsTable[[#This Row],[RepsRequested]]&gt;1),ContinuousStatsTable[[#This Row],[HalfWidth]],ContinuousStatsTable[[#This Row],[BatchMeansHalfWidth]])</f>
        <v>9.4948322151438332E-3</v>
      </c>
    </row>
    <row r="198" spans="1:21">
      <c r="A198" t="s">
        <v>67</v>
      </c>
      <c r="B198" t="s">
        <v>70</v>
      </c>
      <c r="C198">
        <v>22</v>
      </c>
      <c r="D198" t="s">
        <v>95</v>
      </c>
      <c r="E198" t="s">
        <v>93</v>
      </c>
      <c r="F198" t="s">
        <v>92</v>
      </c>
      <c r="G198">
        <v>1.33473609729308</v>
      </c>
      <c r="H198">
        <v>9.8382836174474297E-2</v>
      </c>
      <c r="I198">
        <v>0</v>
      </c>
      <c r="J198">
        <v>2</v>
      </c>
      <c r="K198">
        <v>1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30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1.25137055844268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1.4418144175808001</v>
      </c>
      <c r="U198" s="5">
        <f>IF((ContinuousStatsTable[[#This Row],[RepsRequested]]&gt;1),ContinuousStatsTable[[#This Row],[HalfWidth]],ContinuousStatsTable[[#This Row],[BatchMeansHalfWidth]])</f>
        <v>1.8989664430287469E-2</v>
      </c>
    </row>
    <row r="199" spans="1:21">
      <c r="A199" t="s">
        <v>67</v>
      </c>
      <c r="B199" t="s">
        <v>70</v>
      </c>
      <c r="C199">
        <v>22</v>
      </c>
      <c r="D199" t="s">
        <v>95</v>
      </c>
      <c r="E199" t="s">
        <v>94</v>
      </c>
      <c r="F199" t="s">
        <v>92</v>
      </c>
      <c r="G199">
        <v>2</v>
      </c>
      <c r="H199">
        <v>2E+20</v>
      </c>
      <c r="I199">
        <v>2</v>
      </c>
      <c r="J199">
        <v>2</v>
      </c>
      <c r="K199">
        <v>2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30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2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2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2</v>
      </c>
      <c r="U199" s="5">
        <f>IF((ContinuousStatsTable[[#This Row],[RepsRequested]]&gt;1),ContinuousStatsTable[[#This Row],[HalfWidth]],ContinuousStatsTable[[#This Row],[BatchMeansHalfWidth]])</f>
        <v>0</v>
      </c>
    </row>
    <row r="200" spans="1:21">
      <c r="A200" t="s">
        <v>67</v>
      </c>
      <c r="B200" t="s">
        <v>70</v>
      </c>
      <c r="C200">
        <v>23</v>
      </c>
      <c r="D200" t="s">
        <v>71</v>
      </c>
      <c r="E200" t="s">
        <v>88</v>
      </c>
      <c r="F200" t="s">
        <v>73</v>
      </c>
      <c r="G200">
        <v>6.4089254409401804</v>
      </c>
      <c r="H200">
        <v>3E+20</v>
      </c>
      <c r="I200">
        <v>0</v>
      </c>
      <c r="J200">
        <v>24</v>
      </c>
      <c r="K200">
        <v>4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30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4.1194471364998897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8.3550459526658596</v>
      </c>
      <c r="U200" s="5">
        <f>IF((ContinuousStatsTable[[#This Row],[RepsRequested]]&gt;1),ContinuousStatsTable[[#This Row],[HalfWidth]],ContinuousStatsTable[[#This Row],[BatchMeansHalfWidth]])</f>
        <v>0.33154533313227752</v>
      </c>
    </row>
    <row r="201" spans="1:21">
      <c r="A201" t="s">
        <v>67</v>
      </c>
      <c r="B201" t="s">
        <v>70</v>
      </c>
      <c r="C201">
        <v>23</v>
      </c>
      <c r="D201" t="s">
        <v>79</v>
      </c>
      <c r="E201" t="s">
        <v>89</v>
      </c>
      <c r="F201" t="s">
        <v>81</v>
      </c>
      <c r="G201">
        <v>8.2167854080019698E-2</v>
      </c>
      <c r="H201">
        <v>2.8824072154868801E-2</v>
      </c>
      <c r="I201">
        <v>0</v>
      </c>
      <c r="J201">
        <v>2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30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4.2893123096714503E-2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8.2167854080019698E-2</v>
      </c>
      <c r="U201" s="5">
        <f>IF((ContinuousStatsTable[[#This Row],[RepsRequested]]&gt;1),ContinuousStatsTable[[#This Row],[HalfWidth]],ContinuousStatsTable[[#This Row],[BatchMeansHalfWidth]])</f>
        <v>3.7191130285907097E-3</v>
      </c>
    </row>
    <row r="202" spans="1:21">
      <c r="A202" t="s">
        <v>67</v>
      </c>
      <c r="B202" t="s">
        <v>70</v>
      </c>
      <c r="C202">
        <v>23</v>
      </c>
      <c r="D202" t="s">
        <v>82</v>
      </c>
      <c r="E202" t="s">
        <v>89</v>
      </c>
      <c r="F202" t="s">
        <v>81</v>
      </c>
      <c r="G202">
        <v>3.0990595327236798</v>
      </c>
      <c r="H202">
        <v>3E+20</v>
      </c>
      <c r="I202">
        <v>0</v>
      </c>
      <c r="J202">
        <v>19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30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1.16047720119272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5.0272524622418899</v>
      </c>
      <c r="U202" s="5">
        <f>IF((ContinuousStatsTable[[#This Row],[RepsRequested]]&gt;1),ContinuousStatsTable[[#This Row],[HalfWidth]],ContinuousStatsTable[[#This Row],[BatchMeansHalfWidth]])</f>
        <v>0.29961479841885524</v>
      </c>
    </row>
    <row r="203" spans="1:21">
      <c r="A203" t="s">
        <v>67</v>
      </c>
      <c r="B203" t="s">
        <v>70</v>
      </c>
      <c r="C203">
        <v>23</v>
      </c>
      <c r="D203" t="s">
        <v>90</v>
      </c>
      <c r="E203" t="s">
        <v>91</v>
      </c>
      <c r="F203" t="s">
        <v>92</v>
      </c>
      <c r="G203">
        <v>0.89294181827783703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30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0.79563957753275305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0.91388224334429202</v>
      </c>
      <c r="U203" s="5">
        <f>IF((ContinuousStatsTable[[#This Row],[RepsRequested]]&gt;1),ContinuousStatsTable[[#This Row],[HalfWidth]],ContinuousStatsTable[[#This Row],[BatchMeansHalfWidth]])</f>
        <v>1.1109852606791693E-2</v>
      </c>
    </row>
    <row r="204" spans="1:21">
      <c r="A204" t="s">
        <v>67</v>
      </c>
      <c r="B204" t="s">
        <v>70</v>
      </c>
      <c r="C204">
        <v>23</v>
      </c>
      <c r="D204" t="s">
        <v>90</v>
      </c>
      <c r="E204" t="s">
        <v>93</v>
      </c>
      <c r="F204" t="s">
        <v>92</v>
      </c>
      <c r="G204">
        <v>1.7858836365556701</v>
      </c>
      <c r="H204">
        <v>2E+20</v>
      </c>
      <c r="I204">
        <v>0</v>
      </c>
      <c r="J204">
        <v>2</v>
      </c>
      <c r="K204">
        <v>2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30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1.5912791550655101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1.82776448668858</v>
      </c>
      <c r="U204" s="5">
        <f>IF((ContinuousStatsTable[[#This Row],[RepsRequested]]&gt;1),ContinuousStatsTable[[#This Row],[HalfWidth]],ContinuousStatsTable[[#This Row],[BatchMeansHalfWidth]])</f>
        <v>2.2219705213583314E-2</v>
      </c>
    </row>
    <row r="205" spans="1:21">
      <c r="A205" t="s">
        <v>67</v>
      </c>
      <c r="B205" t="s">
        <v>70</v>
      </c>
      <c r="C205">
        <v>23</v>
      </c>
      <c r="D205" t="s">
        <v>90</v>
      </c>
      <c r="E205" t="s">
        <v>94</v>
      </c>
      <c r="F205" t="s">
        <v>92</v>
      </c>
      <c r="G205">
        <v>2</v>
      </c>
      <c r="H205">
        <v>2E+20</v>
      </c>
      <c r="I205">
        <v>2</v>
      </c>
      <c r="J205">
        <v>2</v>
      </c>
      <c r="K205">
        <v>2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30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2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2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2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>
      <c r="A206" t="s">
        <v>67</v>
      </c>
      <c r="B206" t="s">
        <v>70</v>
      </c>
      <c r="C206">
        <v>23</v>
      </c>
      <c r="D206" t="s">
        <v>95</v>
      </c>
      <c r="E206" t="s">
        <v>91</v>
      </c>
      <c r="F206" t="s">
        <v>92</v>
      </c>
      <c r="G206">
        <v>0.72090720879040104</v>
      </c>
      <c r="H206">
        <v>4.22498213737122E-2</v>
      </c>
      <c r="I206">
        <v>0</v>
      </c>
      <c r="J206">
        <v>1</v>
      </c>
      <c r="K206">
        <v>0.5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30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0.62568527922134098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0.72090720879040104</v>
      </c>
      <c r="U206" s="5">
        <f>IF((ContinuousStatsTable[[#This Row],[RepsRequested]]&gt;1),ContinuousStatsTable[[#This Row],[HalfWidth]],ContinuousStatsTable[[#This Row],[BatchMeansHalfWidth]])</f>
        <v>9.4948322151438332E-3</v>
      </c>
    </row>
    <row r="207" spans="1:21">
      <c r="A207" t="s">
        <v>67</v>
      </c>
      <c r="B207" t="s">
        <v>70</v>
      </c>
      <c r="C207">
        <v>23</v>
      </c>
      <c r="D207" t="s">
        <v>95</v>
      </c>
      <c r="E207" t="s">
        <v>93</v>
      </c>
      <c r="F207" t="s">
        <v>92</v>
      </c>
      <c r="G207">
        <v>1.4418144175808001</v>
      </c>
      <c r="H207">
        <v>8.44996427474244E-2</v>
      </c>
      <c r="I207">
        <v>0</v>
      </c>
      <c r="J207">
        <v>2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30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1.25137055844268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1.4418144175808001</v>
      </c>
      <c r="U207" s="5">
        <f>IF((ContinuousStatsTable[[#This Row],[RepsRequested]]&gt;1),ContinuousStatsTable[[#This Row],[HalfWidth]],ContinuousStatsTable[[#This Row],[BatchMeansHalfWidth]])</f>
        <v>1.8989664430287469E-2</v>
      </c>
    </row>
    <row r="208" spans="1:21">
      <c r="A208" t="s">
        <v>67</v>
      </c>
      <c r="B208" t="s">
        <v>70</v>
      </c>
      <c r="C208">
        <v>23</v>
      </c>
      <c r="D208" t="s">
        <v>95</v>
      </c>
      <c r="E208" t="s">
        <v>94</v>
      </c>
      <c r="F208" t="s">
        <v>92</v>
      </c>
      <c r="G208">
        <v>2</v>
      </c>
      <c r="H208">
        <v>2E+20</v>
      </c>
      <c r="I208">
        <v>2</v>
      </c>
      <c r="J208">
        <v>2</v>
      </c>
      <c r="K208">
        <v>2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30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2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2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2</v>
      </c>
      <c r="U208" s="5">
        <f>IF((ContinuousStatsTable[[#This Row],[RepsRequested]]&gt;1),ContinuousStatsTable[[#This Row],[HalfWidth]],ContinuousStatsTable[[#This Row],[BatchMeansHalfWidth]])</f>
        <v>0</v>
      </c>
    </row>
    <row r="209" spans="1:21">
      <c r="A209" t="s">
        <v>67</v>
      </c>
      <c r="B209" t="s">
        <v>70</v>
      </c>
      <c r="C209">
        <v>24</v>
      </c>
      <c r="D209" t="s">
        <v>71</v>
      </c>
      <c r="E209" t="s">
        <v>88</v>
      </c>
      <c r="F209" t="s">
        <v>73</v>
      </c>
      <c r="G209">
        <v>5.1789378749369899</v>
      </c>
      <c r="H209">
        <v>3E+20</v>
      </c>
      <c r="I209">
        <v>0</v>
      </c>
      <c r="J209">
        <v>21</v>
      </c>
      <c r="K209">
        <v>3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30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4.1194471364998897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8.3550459526658596</v>
      </c>
      <c r="U209" s="5">
        <f>IF((ContinuousStatsTable[[#This Row],[RepsRequested]]&gt;1),ContinuousStatsTable[[#This Row],[HalfWidth]],ContinuousStatsTable[[#This Row],[BatchMeansHalfWidth]])</f>
        <v>0.33154533313227752</v>
      </c>
    </row>
    <row r="210" spans="1:21">
      <c r="A210" t="s">
        <v>67</v>
      </c>
      <c r="B210" t="s">
        <v>70</v>
      </c>
      <c r="C210">
        <v>24</v>
      </c>
      <c r="D210" t="s">
        <v>79</v>
      </c>
      <c r="E210" t="s">
        <v>89</v>
      </c>
      <c r="F210" t="s">
        <v>81</v>
      </c>
      <c r="G210">
        <v>6.3399422044709594E-2</v>
      </c>
      <c r="H210">
        <v>2.2982558960392099E-2</v>
      </c>
      <c r="I210">
        <v>0</v>
      </c>
      <c r="J210">
        <v>2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30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4.2893123096714503E-2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8.2167854080019698E-2</v>
      </c>
      <c r="U210" s="5">
        <f>IF((ContinuousStatsTable[[#This Row],[RepsRequested]]&gt;1),ContinuousStatsTable[[#This Row],[HalfWidth]],ContinuousStatsTable[[#This Row],[BatchMeansHalfWidth]])</f>
        <v>3.7191130285907097E-3</v>
      </c>
    </row>
    <row r="211" spans="1:21">
      <c r="A211" t="s">
        <v>67</v>
      </c>
      <c r="B211" t="s">
        <v>70</v>
      </c>
      <c r="C211">
        <v>24</v>
      </c>
      <c r="D211" t="s">
        <v>82</v>
      </c>
      <c r="E211" t="s">
        <v>89</v>
      </c>
      <c r="F211" t="s">
        <v>81</v>
      </c>
      <c r="G211">
        <v>2.1252042771814401</v>
      </c>
      <c r="H211">
        <v>3E+20</v>
      </c>
      <c r="I211">
        <v>0</v>
      </c>
      <c r="J211">
        <v>17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30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1.16047720119272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5.0272524622418899</v>
      </c>
      <c r="U211" s="5">
        <f>IF((ContinuousStatsTable[[#This Row],[RepsRequested]]&gt;1),ContinuousStatsTable[[#This Row],[HalfWidth]],ContinuousStatsTable[[#This Row],[BatchMeansHalfWidth]])</f>
        <v>0.29961479841885524</v>
      </c>
    </row>
    <row r="212" spans="1:21">
      <c r="A212" t="s">
        <v>67</v>
      </c>
      <c r="B212" t="s">
        <v>70</v>
      </c>
      <c r="C212">
        <v>24</v>
      </c>
      <c r="D212" t="s">
        <v>90</v>
      </c>
      <c r="E212" t="s">
        <v>91</v>
      </c>
      <c r="F212" t="s">
        <v>92</v>
      </c>
      <c r="G212">
        <v>0.822472904252884</v>
      </c>
      <c r="H212">
        <v>5.6221807483110897E-2</v>
      </c>
      <c r="I212">
        <v>0</v>
      </c>
      <c r="J212">
        <v>1</v>
      </c>
      <c r="K212">
        <v>1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30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0.79563957753275305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0.91388224334429202</v>
      </c>
      <c r="U212" s="5">
        <f>IF((ContinuousStatsTable[[#This Row],[RepsRequested]]&gt;1),ContinuousStatsTable[[#This Row],[HalfWidth]],ContinuousStatsTable[[#This Row],[BatchMeansHalfWidth]])</f>
        <v>1.1109852606791693E-2</v>
      </c>
    </row>
    <row r="213" spans="1:21">
      <c r="A213" t="s">
        <v>67</v>
      </c>
      <c r="B213" t="s">
        <v>70</v>
      </c>
      <c r="C213">
        <v>24</v>
      </c>
      <c r="D213" t="s">
        <v>90</v>
      </c>
      <c r="E213" t="s">
        <v>93</v>
      </c>
      <c r="F213" t="s">
        <v>92</v>
      </c>
      <c r="G213">
        <v>1.64494580850577</v>
      </c>
      <c r="H213">
        <v>0.112443614966222</v>
      </c>
      <c r="I213">
        <v>0</v>
      </c>
      <c r="J213">
        <v>2</v>
      </c>
      <c r="K213">
        <v>2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30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1.5912791550655101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1.82776448668858</v>
      </c>
      <c r="U213" s="5">
        <f>IF((ContinuousStatsTable[[#This Row],[RepsRequested]]&gt;1),ContinuousStatsTable[[#This Row],[HalfWidth]],ContinuousStatsTable[[#This Row],[BatchMeansHalfWidth]])</f>
        <v>2.2219705213583314E-2</v>
      </c>
    </row>
    <row r="214" spans="1:21">
      <c r="A214" t="s">
        <v>67</v>
      </c>
      <c r="B214" t="s">
        <v>70</v>
      </c>
      <c r="C214">
        <v>24</v>
      </c>
      <c r="D214" t="s">
        <v>90</v>
      </c>
      <c r="E214" t="s">
        <v>94</v>
      </c>
      <c r="F214" t="s">
        <v>92</v>
      </c>
      <c r="G214">
        <v>2</v>
      </c>
      <c r="H214">
        <v>2E+20</v>
      </c>
      <c r="I214">
        <v>2</v>
      </c>
      <c r="J214">
        <v>2</v>
      </c>
      <c r="K214">
        <v>2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30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2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2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2</v>
      </c>
      <c r="U214" s="5">
        <f>IF((ContinuousStatsTable[[#This Row],[RepsRequested]]&gt;1),ContinuousStatsTable[[#This Row],[HalfWidth]],ContinuousStatsTable[[#This Row],[BatchMeansHalfWidth]])</f>
        <v>0</v>
      </c>
    </row>
    <row r="215" spans="1:21">
      <c r="A215" t="s">
        <v>67</v>
      </c>
      <c r="B215" t="s">
        <v>70</v>
      </c>
      <c r="C215">
        <v>24</v>
      </c>
      <c r="D215" t="s">
        <v>95</v>
      </c>
      <c r="E215" t="s">
        <v>91</v>
      </c>
      <c r="F215" t="s">
        <v>92</v>
      </c>
      <c r="G215">
        <v>0.67269418360253397</v>
      </c>
      <c r="H215">
        <v>4.6653236671117503E-2</v>
      </c>
      <c r="I215">
        <v>0</v>
      </c>
      <c r="J215">
        <v>1</v>
      </c>
      <c r="K215">
        <v>0.5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30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0.62568527922134098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0.72090720879040104</v>
      </c>
      <c r="U215" s="5">
        <f>IF((ContinuousStatsTable[[#This Row],[RepsRequested]]&gt;1),ContinuousStatsTable[[#This Row],[HalfWidth]],ContinuousStatsTable[[#This Row],[BatchMeansHalfWidth]])</f>
        <v>9.4948322151438332E-3</v>
      </c>
    </row>
    <row r="216" spans="1:21">
      <c r="A216" t="s">
        <v>67</v>
      </c>
      <c r="B216" t="s">
        <v>70</v>
      </c>
      <c r="C216">
        <v>24</v>
      </c>
      <c r="D216" t="s">
        <v>95</v>
      </c>
      <c r="E216" t="s">
        <v>93</v>
      </c>
      <c r="F216" t="s">
        <v>92</v>
      </c>
      <c r="G216">
        <v>1.3453883672050699</v>
      </c>
      <c r="H216">
        <v>9.3306473342235102E-2</v>
      </c>
      <c r="I216">
        <v>0</v>
      </c>
      <c r="J216">
        <v>2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30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1.25137055844268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1.4418144175808001</v>
      </c>
      <c r="U216" s="5">
        <f>IF((ContinuousStatsTable[[#This Row],[RepsRequested]]&gt;1),ContinuousStatsTable[[#This Row],[HalfWidth]],ContinuousStatsTable[[#This Row],[BatchMeansHalfWidth]])</f>
        <v>1.8989664430287469E-2</v>
      </c>
    </row>
    <row r="217" spans="1:21">
      <c r="A217" t="s">
        <v>67</v>
      </c>
      <c r="B217" t="s">
        <v>70</v>
      </c>
      <c r="C217">
        <v>24</v>
      </c>
      <c r="D217" t="s">
        <v>95</v>
      </c>
      <c r="E217" t="s">
        <v>94</v>
      </c>
      <c r="F217" t="s">
        <v>92</v>
      </c>
      <c r="G217">
        <v>2</v>
      </c>
      <c r="H217">
        <v>2E+20</v>
      </c>
      <c r="I217">
        <v>2</v>
      </c>
      <c r="J217">
        <v>2</v>
      </c>
      <c r="K217">
        <v>2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30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2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2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2</v>
      </c>
      <c r="U217" s="5">
        <f>IF((ContinuousStatsTable[[#This Row],[RepsRequested]]&gt;1),ContinuousStatsTable[[#This Row],[HalfWidth]],ContinuousStatsTable[[#This Row],[BatchMeansHalfWidth]])</f>
        <v>0</v>
      </c>
    </row>
    <row r="218" spans="1:21">
      <c r="A218" t="s">
        <v>67</v>
      </c>
      <c r="B218" t="s">
        <v>70</v>
      </c>
      <c r="C218">
        <v>25</v>
      </c>
      <c r="D218" t="s">
        <v>71</v>
      </c>
      <c r="E218" t="s">
        <v>88</v>
      </c>
      <c r="F218" t="s">
        <v>73</v>
      </c>
      <c r="G218">
        <v>5.5964904562874196</v>
      </c>
      <c r="H218">
        <v>3E+20</v>
      </c>
      <c r="I218">
        <v>0</v>
      </c>
      <c r="J218">
        <v>16</v>
      </c>
      <c r="K218">
        <v>4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30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4.1194471364998897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8.3550459526658596</v>
      </c>
      <c r="U218" s="5">
        <f>IF((ContinuousStatsTable[[#This Row],[RepsRequested]]&gt;1),ContinuousStatsTable[[#This Row],[HalfWidth]],ContinuousStatsTable[[#This Row],[BatchMeansHalfWidth]])</f>
        <v>0.33154533313227752</v>
      </c>
    </row>
    <row r="219" spans="1:21">
      <c r="A219" t="s">
        <v>67</v>
      </c>
      <c r="B219" t="s">
        <v>70</v>
      </c>
      <c r="C219">
        <v>25</v>
      </c>
      <c r="D219" t="s">
        <v>79</v>
      </c>
      <c r="E219" t="s">
        <v>89</v>
      </c>
      <c r="F219" t="s">
        <v>81</v>
      </c>
      <c r="G219">
        <v>7.4053695460731803E-2</v>
      </c>
      <c r="H219">
        <v>1.94439853268344E-2</v>
      </c>
      <c r="I219">
        <v>0</v>
      </c>
      <c r="J219">
        <v>2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30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4.2893123096714503E-2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8.2167854080019698E-2</v>
      </c>
      <c r="U219" s="5">
        <f>IF((ContinuousStatsTable[[#This Row],[RepsRequested]]&gt;1),ContinuousStatsTable[[#This Row],[HalfWidth]],ContinuousStatsTable[[#This Row],[BatchMeansHalfWidth]])</f>
        <v>3.7191130285907097E-3</v>
      </c>
    </row>
    <row r="220" spans="1:21">
      <c r="A220" t="s">
        <v>67</v>
      </c>
      <c r="B220" t="s">
        <v>70</v>
      </c>
      <c r="C220">
        <v>25</v>
      </c>
      <c r="D220" t="s">
        <v>82</v>
      </c>
      <c r="E220" t="s">
        <v>89</v>
      </c>
      <c r="F220" t="s">
        <v>81</v>
      </c>
      <c r="G220">
        <v>2.3469142658157098</v>
      </c>
      <c r="H220">
        <v>3E+20</v>
      </c>
      <c r="I220">
        <v>0</v>
      </c>
      <c r="J220">
        <v>12</v>
      </c>
      <c r="K220">
        <v>0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30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1.16047720119272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5.0272524622418899</v>
      </c>
      <c r="U220" s="5">
        <f>IF((ContinuousStatsTable[[#This Row],[RepsRequested]]&gt;1),ContinuousStatsTable[[#This Row],[HalfWidth]],ContinuousStatsTable[[#This Row],[BatchMeansHalfWidth]])</f>
        <v>0.29961479841885524</v>
      </c>
    </row>
    <row r="221" spans="1:21">
      <c r="A221" t="s">
        <v>67</v>
      </c>
      <c r="B221" t="s">
        <v>70</v>
      </c>
      <c r="C221">
        <v>25</v>
      </c>
      <c r="D221" t="s">
        <v>90</v>
      </c>
      <c r="E221" t="s">
        <v>91</v>
      </c>
      <c r="F221" t="s">
        <v>92</v>
      </c>
      <c r="G221">
        <v>0.87741284435682299</v>
      </c>
      <c r="H221">
        <v>2E+20</v>
      </c>
      <c r="I221">
        <v>0</v>
      </c>
      <c r="J221">
        <v>1</v>
      </c>
      <c r="K221">
        <v>1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30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0.79563957753275305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0.91388224334429202</v>
      </c>
      <c r="U221" s="5">
        <f>IF((ContinuousStatsTable[[#This Row],[RepsRequested]]&gt;1),ContinuousStatsTable[[#This Row],[HalfWidth]],ContinuousStatsTable[[#This Row],[BatchMeansHalfWidth]])</f>
        <v>1.1109852606791693E-2</v>
      </c>
    </row>
    <row r="222" spans="1:21">
      <c r="A222" t="s">
        <v>67</v>
      </c>
      <c r="B222" t="s">
        <v>70</v>
      </c>
      <c r="C222">
        <v>25</v>
      </c>
      <c r="D222" t="s">
        <v>90</v>
      </c>
      <c r="E222" t="s">
        <v>93</v>
      </c>
      <c r="F222" t="s">
        <v>92</v>
      </c>
      <c r="G222">
        <v>1.75482568871365</v>
      </c>
      <c r="H222">
        <v>2E+20</v>
      </c>
      <c r="I222">
        <v>0</v>
      </c>
      <c r="J222">
        <v>2</v>
      </c>
      <c r="K222">
        <v>2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30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1.5912791550655101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1.82776448668858</v>
      </c>
      <c r="U222" s="5">
        <f>IF((ContinuousStatsTable[[#This Row],[RepsRequested]]&gt;1),ContinuousStatsTable[[#This Row],[HalfWidth]],ContinuousStatsTable[[#This Row],[BatchMeansHalfWidth]])</f>
        <v>2.2219705213583314E-2</v>
      </c>
    </row>
    <row r="223" spans="1:21">
      <c r="A223" t="s">
        <v>67</v>
      </c>
      <c r="B223" t="s">
        <v>70</v>
      </c>
      <c r="C223">
        <v>25</v>
      </c>
      <c r="D223" t="s">
        <v>90</v>
      </c>
      <c r="E223" t="s">
        <v>94</v>
      </c>
      <c r="F223" t="s">
        <v>92</v>
      </c>
      <c r="G223">
        <v>2</v>
      </c>
      <c r="H223">
        <v>2E+20</v>
      </c>
      <c r="I223">
        <v>2</v>
      </c>
      <c r="J223">
        <v>2</v>
      </c>
      <c r="K223">
        <v>2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30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2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2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2</v>
      </c>
      <c r="U223" s="5">
        <f>IF((ContinuousStatsTable[[#This Row],[RepsRequested]]&gt;1),ContinuousStatsTable[[#This Row],[HalfWidth]],ContinuousStatsTable[[#This Row],[BatchMeansHalfWidth]])</f>
        <v>0</v>
      </c>
    </row>
    <row r="224" spans="1:21">
      <c r="A224" t="s">
        <v>67</v>
      </c>
      <c r="B224" t="s">
        <v>70</v>
      </c>
      <c r="C224">
        <v>25</v>
      </c>
      <c r="D224" t="s">
        <v>95</v>
      </c>
      <c r="E224" t="s">
        <v>91</v>
      </c>
      <c r="F224" t="s">
        <v>92</v>
      </c>
      <c r="G224">
        <v>0.71034840314866798</v>
      </c>
      <c r="H224">
        <v>4.2038850564029999E-2</v>
      </c>
      <c r="I224">
        <v>0</v>
      </c>
      <c r="J224">
        <v>1</v>
      </c>
      <c r="K224">
        <v>1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30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0.62568527922134098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0.72090720879040104</v>
      </c>
      <c r="U224" s="5">
        <f>IF((ContinuousStatsTable[[#This Row],[RepsRequested]]&gt;1),ContinuousStatsTable[[#This Row],[HalfWidth]],ContinuousStatsTable[[#This Row],[BatchMeansHalfWidth]])</f>
        <v>9.4948322151438332E-3</v>
      </c>
    </row>
    <row r="225" spans="1:21">
      <c r="A225" t="s">
        <v>67</v>
      </c>
      <c r="B225" t="s">
        <v>70</v>
      </c>
      <c r="C225">
        <v>25</v>
      </c>
      <c r="D225" t="s">
        <v>95</v>
      </c>
      <c r="E225" t="s">
        <v>93</v>
      </c>
      <c r="F225" t="s">
        <v>92</v>
      </c>
      <c r="G225">
        <v>1.42069680629734</v>
      </c>
      <c r="H225">
        <v>8.4077701128059998E-2</v>
      </c>
      <c r="I225">
        <v>0</v>
      </c>
      <c r="J225">
        <v>2</v>
      </c>
      <c r="K225">
        <v>2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30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1.25137055844268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1.4418144175808001</v>
      </c>
      <c r="U225" s="5">
        <f>IF((ContinuousStatsTable[[#This Row],[RepsRequested]]&gt;1),ContinuousStatsTable[[#This Row],[HalfWidth]],ContinuousStatsTable[[#This Row],[BatchMeansHalfWidth]])</f>
        <v>1.8989664430287469E-2</v>
      </c>
    </row>
    <row r="226" spans="1:21">
      <c r="A226" t="s">
        <v>67</v>
      </c>
      <c r="B226" t="s">
        <v>70</v>
      </c>
      <c r="C226">
        <v>25</v>
      </c>
      <c r="D226" t="s">
        <v>95</v>
      </c>
      <c r="E226" t="s">
        <v>94</v>
      </c>
      <c r="F226" t="s">
        <v>92</v>
      </c>
      <c r="G226">
        <v>2</v>
      </c>
      <c r="H226">
        <v>2E+20</v>
      </c>
      <c r="I226">
        <v>2</v>
      </c>
      <c r="J226">
        <v>2</v>
      </c>
      <c r="K226">
        <v>2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30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2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2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2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>
      <c r="A227" t="s">
        <v>67</v>
      </c>
      <c r="B227" t="s">
        <v>70</v>
      </c>
      <c r="C227">
        <v>26</v>
      </c>
      <c r="D227" t="s">
        <v>71</v>
      </c>
      <c r="E227" t="s">
        <v>88</v>
      </c>
      <c r="F227" t="s">
        <v>73</v>
      </c>
      <c r="G227">
        <v>6.3004372758504799</v>
      </c>
      <c r="H227">
        <v>3E+20</v>
      </c>
      <c r="I227">
        <v>0</v>
      </c>
      <c r="J227">
        <v>17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30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4.1194471364998897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8.3550459526658596</v>
      </c>
      <c r="U227" s="5">
        <f>IF((ContinuousStatsTable[[#This Row],[RepsRequested]]&gt;1),ContinuousStatsTable[[#This Row],[HalfWidth]],ContinuousStatsTable[[#This Row],[BatchMeansHalfWidth]])</f>
        <v>0.33154533313227752</v>
      </c>
    </row>
    <row r="228" spans="1:21">
      <c r="A228" t="s">
        <v>67</v>
      </c>
      <c r="B228" t="s">
        <v>70</v>
      </c>
      <c r="C228">
        <v>26</v>
      </c>
      <c r="D228" t="s">
        <v>79</v>
      </c>
      <c r="E228" t="s">
        <v>89</v>
      </c>
      <c r="F228" t="s">
        <v>81</v>
      </c>
      <c r="G228">
        <v>6.3744422075192098E-2</v>
      </c>
      <c r="H228">
        <v>2.4902035935340499E-2</v>
      </c>
      <c r="I228">
        <v>0</v>
      </c>
      <c r="J228">
        <v>2</v>
      </c>
      <c r="K228">
        <v>0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30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4.2893123096714503E-2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8.2167854080019698E-2</v>
      </c>
      <c r="U228" s="5">
        <f>IF((ContinuousStatsTable[[#This Row],[RepsRequested]]&gt;1),ContinuousStatsTable[[#This Row],[HalfWidth]],ContinuousStatsTable[[#This Row],[BatchMeansHalfWidth]])</f>
        <v>3.7191130285907097E-3</v>
      </c>
    </row>
    <row r="229" spans="1:21">
      <c r="A229" t="s">
        <v>67</v>
      </c>
      <c r="B229" t="s">
        <v>70</v>
      </c>
      <c r="C229">
        <v>26</v>
      </c>
      <c r="D229" t="s">
        <v>82</v>
      </c>
      <c r="E229" t="s">
        <v>89</v>
      </c>
      <c r="F229" t="s">
        <v>81</v>
      </c>
      <c r="G229">
        <v>3.07426996172225</v>
      </c>
      <c r="H229">
        <v>3E+20</v>
      </c>
      <c r="I229">
        <v>0</v>
      </c>
      <c r="J229">
        <v>14</v>
      </c>
      <c r="K229">
        <v>0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30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1.16047720119272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5.0272524622418899</v>
      </c>
      <c r="U229" s="5">
        <f>IF((ContinuousStatsTable[[#This Row],[RepsRequested]]&gt;1),ContinuousStatsTable[[#This Row],[HalfWidth]],ContinuousStatsTable[[#This Row],[BatchMeansHalfWidth]])</f>
        <v>0.29961479841885524</v>
      </c>
    </row>
    <row r="230" spans="1:21">
      <c r="A230" t="s">
        <v>67</v>
      </c>
      <c r="B230" t="s">
        <v>70</v>
      </c>
      <c r="C230">
        <v>26</v>
      </c>
      <c r="D230" t="s">
        <v>90</v>
      </c>
      <c r="E230" t="s">
        <v>91</v>
      </c>
      <c r="F230" t="s">
        <v>92</v>
      </c>
      <c r="G230">
        <v>0.88261789039376104</v>
      </c>
      <c r="H230">
        <v>2E+20</v>
      </c>
      <c r="I230">
        <v>0</v>
      </c>
      <c r="J230">
        <v>1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30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0.79563957753275305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0.91388224334429202</v>
      </c>
      <c r="U230" s="5">
        <f>IF((ContinuousStatsTable[[#This Row],[RepsRequested]]&gt;1),ContinuousStatsTable[[#This Row],[HalfWidth]],ContinuousStatsTable[[#This Row],[BatchMeansHalfWidth]])</f>
        <v>1.1109852606791693E-2</v>
      </c>
    </row>
    <row r="231" spans="1:21">
      <c r="A231" t="s">
        <v>67</v>
      </c>
      <c r="B231" t="s">
        <v>70</v>
      </c>
      <c r="C231">
        <v>26</v>
      </c>
      <c r="D231" t="s">
        <v>90</v>
      </c>
      <c r="E231" t="s">
        <v>93</v>
      </c>
      <c r="F231" t="s">
        <v>92</v>
      </c>
      <c r="G231">
        <v>1.7652357807875201</v>
      </c>
      <c r="H231">
        <v>2E+20</v>
      </c>
      <c r="I231">
        <v>0</v>
      </c>
      <c r="J231">
        <v>2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30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1.5912791550655101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1.82776448668858</v>
      </c>
      <c r="U231" s="5">
        <f>IF((ContinuousStatsTable[[#This Row],[RepsRequested]]&gt;1),ContinuousStatsTable[[#This Row],[HalfWidth]],ContinuousStatsTable[[#This Row],[BatchMeansHalfWidth]])</f>
        <v>2.2219705213583314E-2</v>
      </c>
    </row>
    <row r="232" spans="1:21">
      <c r="A232" t="s">
        <v>67</v>
      </c>
      <c r="B232" t="s">
        <v>70</v>
      </c>
      <c r="C232">
        <v>26</v>
      </c>
      <c r="D232" t="s">
        <v>90</v>
      </c>
      <c r="E232" t="s">
        <v>94</v>
      </c>
      <c r="F232" t="s">
        <v>92</v>
      </c>
      <c r="G232">
        <v>2</v>
      </c>
      <c r="H232">
        <v>2E+20</v>
      </c>
      <c r="I232">
        <v>2</v>
      </c>
      <c r="J232">
        <v>2</v>
      </c>
      <c r="K232">
        <v>2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30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2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2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2</v>
      </c>
      <c r="U232" s="5">
        <f>IF((ContinuousStatsTable[[#This Row],[RepsRequested]]&gt;1),ContinuousStatsTable[[#This Row],[HalfWidth]],ContinuousStatsTable[[#This Row],[BatchMeansHalfWidth]])</f>
        <v>0</v>
      </c>
    </row>
    <row r="233" spans="1:21">
      <c r="A233" t="s">
        <v>67</v>
      </c>
      <c r="B233" t="s">
        <v>70</v>
      </c>
      <c r="C233">
        <v>26</v>
      </c>
      <c r="D233" t="s">
        <v>95</v>
      </c>
      <c r="E233" t="s">
        <v>91</v>
      </c>
      <c r="F233" t="s">
        <v>92</v>
      </c>
      <c r="G233">
        <v>0.69859355563276204</v>
      </c>
      <c r="H233">
        <v>3E+20</v>
      </c>
      <c r="I233">
        <v>0</v>
      </c>
      <c r="J233">
        <v>1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30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0.62568527922134098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0.72090720879040104</v>
      </c>
      <c r="U233" s="5">
        <f>IF((ContinuousStatsTable[[#This Row],[RepsRequested]]&gt;1),ContinuousStatsTable[[#This Row],[HalfWidth]],ContinuousStatsTable[[#This Row],[BatchMeansHalfWidth]])</f>
        <v>9.4948322151438332E-3</v>
      </c>
    </row>
    <row r="234" spans="1:21">
      <c r="A234" t="s">
        <v>67</v>
      </c>
      <c r="B234" t="s">
        <v>70</v>
      </c>
      <c r="C234">
        <v>26</v>
      </c>
      <c r="D234" t="s">
        <v>95</v>
      </c>
      <c r="E234" t="s">
        <v>93</v>
      </c>
      <c r="F234" t="s">
        <v>92</v>
      </c>
      <c r="G234">
        <v>1.3971871112655201</v>
      </c>
      <c r="H234">
        <v>3E+20</v>
      </c>
      <c r="I234">
        <v>0</v>
      </c>
      <c r="J234">
        <v>2</v>
      </c>
      <c r="K234">
        <v>0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30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1.25137055844268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1.4418144175808001</v>
      </c>
      <c r="U234" s="5">
        <f>IF((ContinuousStatsTable[[#This Row],[RepsRequested]]&gt;1),ContinuousStatsTable[[#This Row],[HalfWidth]],ContinuousStatsTable[[#This Row],[BatchMeansHalfWidth]])</f>
        <v>1.8989664430287469E-2</v>
      </c>
    </row>
    <row r="235" spans="1:21">
      <c r="A235" t="s">
        <v>67</v>
      </c>
      <c r="B235" t="s">
        <v>70</v>
      </c>
      <c r="C235">
        <v>26</v>
      </c>
      <c r="D235" t="s">
        <v>95</v>
      </c>
      <c r="E235" t="s">
        <v>94</v>
      </c>
      <c r="F235" t="s">
        <v>92</v>
      </c>
      <c r="G235">
        <v>2</v>
      </c>
      <c r="H235">
        <v>2E+20</v>
      </c>
      <c r="I235">
        <v>2</v>
      </c>
      <c r="J235">
        <v>2</v>
      </c>
      <c r="K235">
        <v>2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30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2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2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>
      <c r="A236" t="s">
        <v>67</v>
      </c>
      <c r="B236" t="s">
        <v>70</v>
      </c>
      <c r="C236">
        <v>27</v>
      </c>
      <c r="D236" t="s">
        <v>71</v>
      </c>
      <c r="E236" t="s">
        <v>88</v>
      </c>
      <c r="F236" t="s">
        <v>73</v>
      </c>
      <c r="G236">
        <v>4.2630193315697698</v>
      </c>
      <c r="H236">
        <v>0.78905848076740004</v>
      </c>
      <c r="I236">
        <v>0</v>
      </c>
      <c r="J236">
        <v>15</v>
      </c>
      <c r="K236">
        <v>7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30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4.1194471364998897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8.3550459526658596</v>
      </c>
      <c r="U236" s="5">
        <f>IF((ContinuousStatsTable[[#This Row],[RepsRequested]]&gt;1),ContinuousStatsTable[[#This Row],[HalfWidth]],ContinuousStatsTable[[#This Row],[BatchMeansHalfWidth]])</f>
        <v>0.33154533313227752</v>
      </c>
    </row>
    <row r="237" spans="1:21">
      <c r="A237" t="s">
        <v>67</v>
      </c>
      <c r="B237" t="s">
        <v>70</v>
      </c>
      <c r="C237">
        <v>27</v>
      </c>
      <c r="D237" t="s">
        <v>79</v>
      </c>
      <c r="E237" t="s">
        <v>89</v>
      </c>
      <c r="F237" t="s">
        <v>81</v>
      </c>
      <c r="G237">
        <v>5.5027265968253698E-2</v>
      </c>
      <c r="H237">
        <v>2E+20</v>
      </c>
      <c r="I237">
        <v>0</v>
      </c>
      <c r="J237">
        <v>2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30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4.2893123096714503E-2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8.2167854080019698E-2</v>
      </c>
      <c r="U237" s="5">
        <f>IF((ContinuousStatsTable[[#This Row],[RepsRequested]]&gt;1),ContinuousStatsTable[[#This Row],[HalfWidth]],ContinuousStatsTable[[#This Row],[BatchMeansHalfWidth]])</f>
        <v>3.7191130285907097E-3</v>
      </c>
    </row>
    <row r="238" spans="1:21">
      <c r="A238" t="s">
        <v>67</v>
      </c>
      <c r="B238" t="s">
        <v>70</v>
      </c>
      <c r="C238">
        <v>27</v>
      </c>
      <c r="D238" t="s">
        <v>82</v>
      </c>
      <c r="E238" t="s">
        <v>89</v>
      </c>
      <c r="F238" t="s">
        <v>81</v>
      </c>
      <c r="G238">
        <v>1.3653423520933301</v>
      </c>
      <c r="H238">
        <v>0.60143402362107001</v>
      </c>
      <c r="I238">
        <v>0</v>
      </c>
      <c r="J238">
        <v>11</v>
      </c>
      <c r="K238">
        <v>3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30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1.16047720119272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5.0272524622418899</v>
      </c>
      <c r="U238" s="5">
        <f>IF((ContinuousStatsTable[[#This Row],[RepsRequested]]&gt;1),ContinuousStatsTable[[#This Row],[HalfWidth]],ContinuousStatsTable[[#This Row],[BatchMeansHalfWidth]])</f>
        <v>0.29961479841885524</v>
      </c>
    </row>
    <row r="239" spans="1:21">
      <c r="A239" t="s">
        <v>67</v>
      </c>
      <c r="B239" t="s">
        <v>70</v>
      </c>
      <c r="C239">
        <v>27</v>
      </c>
      <c r="D239" t="s">
        <v>90</v>
      </c>
      <c r="E239" t="s">
        <v>91</v>
      </c>
      <c r="F239" t="s">
        <v>92</v>
      </c>
      <c r="G239">
        <v>0.79563957753275305</v>
      </c>
      <c r="H239">
        <v>6.1140136946737998E-2</v>
      </c>
      <c r="I239">
        <v>0</v>
      </c>
      <c r="J239">
        <v>1</v>
      </c>
      <c r="K239">
        <v>1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30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0.79563957753275305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0.91388224334429202</v>
      </c>
      <c r="U239" s="5">
        <f>IF((ContinuousStatsTable[[#This Row],[RepsRequested]]&gt;1),ContinuousStatsTable[[#This Row],[HalfWidth]],ContinuousStatsTable[[#This Row],[BatchMeansHalfWidth]])</f>
        <v>1.1109852606791693E-2</v>
      </c>
    </row>
    <row r="240" spans="1:21">
      <c r="A240" t="s">
        <v>67</v>
      </c>
      <c r="B240" t="s">
        <v>70</v>
      </c>
      <c r="C240">
        <v>27</v>
      </c>
      <c r="D240" t="s">
        <v>90</v>
      </c>
      <c r="E240" t="s">
        <v>93</v>
      </c>
      <c r="F240" t="s">
        <v>92</v>
      </c>
      <c r="G240">
        <v>1.5912791550655101</v>
      </c>
      <c r="H240">
        <v>0.122280273893476</v>
      </c>
      <c r="I240">
        <v>0</v>
      </c>
      <c r="J240">
        <v>2</v>
      </c>
      <c r="K240">
        <v>2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30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1.5912791550655101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1.82776448668858</v>
      </c>
      <c r="U240" s="5">
        <f>IF((ContinuousStatsTable[[#This Row],[RepsRequested]]&gt;1),ContinuousStatsTable[[#This Row],[HalfWidth]],ContinuousStatsTable[[#This Row],[BatchMeansHalfWidth]])</f>
        <v>2.2219705213583314E-2</v>
      </c>
    </row>
    <row r="241" spans="1:21">
      <c r="A241" t="s">
        <v>67</v>
      </c>
      <c r="B241" t="s">
        <v>70</v>
      </c>
      <c r="C241">
        <v>27</v>
      </c>
      <c r="D241" t="s">
        <v>90</v>
      </c>
      <c r="E241" t="s">
        <v>94</v>
      </c>
      <c r="F241" t="s">
        <v>92</v>
      </c>
      <c r="G241">
        <v>2</v>
      </c>
      <c r="H241">
        <v>2E+20</v>
      </c>
      <c r="I241">
        <v>2</v>
      </c>
      <c r="J241">
        <v>2</v>
      </c>
      <c r="K241">
        <v>2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30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2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2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2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>
      <c r="A242" t="s">
        <v>67</v>
      </c>
      <c r="B242" t="s">
        <v>70</v>
      </c>
      <c r="C242">
        <v>27</v>
      </c>
      <c r="D242" t="s">
        <v>95</v>
      </c>
      <c r="E242" t="s">
        <v>91</v>
      </c>
      <c r="F242" t="s">
        <v>92</v>
      </c>
      <c r="G242">
        <v>0.62568527922134098</v>
      </c>
      <c r="H242">
        <v>4.94125145951059E-2</v>
      </c>
      <c r="I242">
        <v>0</v>
      </c>
      <c r="J242">
        <v>1</v>
      </c>
      <c r="K242">
        <v>1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30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0.62568527922134098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0.72090720879040104</v>
      </c>
      <c r="U242" s="5">
        <f>IF((ContinuousStatsTable[[#This Row],[RepsRequested]]&gt;1),ContinuousStatsTable[[#This Row],[HalfWidth]],ContinuousStatsTable[[#This Row],[BatchMeansHalfWidth]])</f>
        <v>9.4948322151438332E-3</v>
      </c>
    </row>
    <row r="243" spans="1:21">
      <c r="A243" t="s">
        <v>67</v>
      </c>
      <c r="B243" t="s">
        <v>70</v>
      </c>
      <c r="C243">
        <v>27</v>
      </c>
      <c r="D243" t="s">
        <v>95</v>
      </c>
      <c r="E243" t="s">
        <v>93</v>
      </c>
      <c r="F243" t="s">
        <v>92</v>
      </c>
      <c r="G243">
        <v>1.25137055844268</v>
      </c>
      <c r="H243">
        <v>9.8825029190211702E-2</v>
      </c>
      <c r="I243">
        <v>0</v>
      </c>
      <c r="J243">
        <v>2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30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1.25137055844268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1.4418144175808001</v>
      </c>
      <c r="U243" s="5">
        <f>IF((ContinuousStatsTable[[#This Row],[RepsRequested]]&gt;1),ContinuousStatsTable[[#This Row],[HalfWidth]],ContinuousStatsTable[[#This Row],[BatchMeansHalfWidth]])</f>
        <v>1.8989664430287469E-2</v>
      </c>
    </row>
    <row r="244" spans="1:21">
      <c r="A244" t="s">
        <v>67</v>
      </c>
      <c r="B244" t="s">
        <v>70</v>
      </c>
      <c r="C244">
        <v>27</v>
      </c>
      <c r="D244" t="s">
        <v>95</v>
      </c>
      <c r="E244" t="s">
        <v>94</v>
      </c>
      <c r="F244" t="s">
        <v>92</v>
      </c>
      <c r="G244">
        <v>2</v>
      </c>
      <c r="H244">
        <v>2E+20</v>
      </c>
      <c r="I244">
        <v>2</v>
      </c>
      <c r="J244">
        <v>2</v>
      </c>
      <c r="K244">
        <v>2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30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2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2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2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>
      <c r="A245" t="s">
        <v>67</v>
      </c>
      <c r="B245" t="s">
        <v>70</v>
      </c>
      <c r="C245">
        <v>28</v>
      </c>
      <c r="D245" t="s">
        <v>71</v>
      </c>
      <c r="E245" t="s">
        <v>88</v>
      </c>
      <c r="F245" t="s">
        <v>73</v>
      </c>
      <c r="G245">
        <v>5.8066946510766</v>
      </c>
      <c r="H245">
        <v>3E+20</v>
      </c>
      <c r="I245">
        <v>0</v>
      </c>
      <c r="J245">
        <v>21</v>
      </c>
      <c r="K245">
        <v>3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30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4.1194471364998897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8.3550459526658596</v>
      </c>
      <c r="U245" s="5">
        <f>IF((ContinuousStatsTable[[#This Row],[RepsRequested]]&gt;1),ContinuousStatsTable[[#This Row],[HalfWidth]],ContinuousStatsTable[[#This Row],[BatchMeansHalfWidth]])</f>
        <v>0.33154533313227752</v>
      </c>
    </row>
    <row r="246" spans="1:21">
      <c r="A246" t="s">
        <v>67</v>
      </c>
      <c r="B246" t="s">
        <v>70</v>
      </c>
      <c r="C246">
        <v>28</v>
      </c>
      <c r="D246" t="s">
        <v>79</v>
      </c>
      <c r="E246" t="s">
        <v>89</v>
      </c>
      <c r="F246" t="s">
        <v>81</v>
      </c>
      <c r="G246">
        <v>6.6475155388688006E-2</v>
      </c>
      <c r="H246">
        <v>2E+20</v>
      </c>
      <c r="I246">
        <v>0</v>
      </c>
      <c r="J246">
        <v>2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30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4.2893123096714503E-2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8.2167854080019698E-2</v>
      </c>
      <c r="U246" s="5">
        <f>IF((ContinuousStatsTable[[#This Row],[RepsRequested]]&gt;1),ContinuousStatsTable[[#This Row],[HalfWidth]],ContinuousStatsTable[[#This Row],[BatchMeansHalfWidth]])</f>
        <v>3.7191130285907097E-3</v>
      </c>
    </row>
    <row r="247" spans="1:21">
      <c r="A247" t="s">
        <v>67</v>
      </c>
      <c r="B247" t="s">
        <v>70</v>
      </c>
      <c r="C247">
        <v>28</v>
      </c>
      <c r="D247" t="s">
        <v>82</v>
      </c>
      <c r="E247" t="s">
        <v>89</v>
      </c>
      <c r="F247" t="s">
        <v>81</v>
      </c>
      <c r="G247">
        <v>2.68634489503048</v>
      </c>
      <c r="H247">
        <v>3E+20</v>
      </c>
      <c r="I247">
        <v>0</v>
      </c>
      <c r="J247">
        <v>17</v>
      </c>
      <c r="K247">
        <v>0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30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1.16047720119272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5.0272524622418899</v>
      </c>
      <c r="U247" s="5">
        <f>IF((ContinuousStatsTable[[#This Row],[RepsRequested]]&gt;1),ContinuousStatsTable[[#This Row],[HalfWidth]],ContinuousStatsTable[[#This Row],[BatchMeansHalfWidth]])</f>
        <v>0.29961479841885524</v>
      </c>
    </row>
    <row r="248" spans="1:21">
      <c r="A248" t="s">
        <v>67</v>
      </c>
      <c r="B248" t="s">
        <v>70</v>
      </c>
      <c r="C248">
        <v>28</v>
      </c>
      <c r="D248" t="s">
        <v>90</v>
      </c>
      <c r="E248" t="s">
        <v>91</v>
      </c>
      <c r="F248" t="s">
        <v>92</v>
      </c>
      <c r="G248">
        <v>0.85298505910226696</v>
      </c>
      <c r="H248">
        <v>2E+20</v>
      </c>
      <c r="I248">
        <v>0</v>
      </c>
      <c r="J248">
        <v>1</v>
      </c>
      <c r="K248">
        <v>1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30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0.79563957753275305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0.91388224334429202</v>
      </c>
      <c r="U248" s="5">
        <f>IF((ContinuousStatsTable[[#This Row],[RepsRequested]]&gt;1),ContinuousStatsTable[[#This Row],[HalfWidth]],ContinuousStatsTable[[#This Row],[BatchMeansHalfWidth]])</f>
        <v>1.1109852606791693E-2</v>
      </c>
    </row>
    <row r="249" spans="1:21">
      <c r="A249" t="s">
        <v>67</v>
      </c>
      <c r="B249" t="s">
        <v>70</v>
      </c>
      <c r="C249">
        <v>28</v>
      </c>
      <c r="D249" t="s">
        <v>90</v>
      </c>
      <c r="E249" t="s">
        <v>93</v>
      </c>
      <c r="F249" t="s">
        <v>92</v>
      </c>
      <c r="G249">
        <v>1.7059701182045299</v>
      </c>
      <c r="H249">
        <v>2E+20</v>
      </c>
      <c r="I249">
        <v>0</v>
      </c>
      <c r="J249">
        <v>2</v>
      </c>
      <c r="K249">
        <v>2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30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1.5912791550655101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1.82776448668858</v>
      </c>
      <c r="U249" s="5">
        <f>IF((ContinuousStatsTable[[#This Row],[RepsRequested]]&gt;1),ContinuousStatsTable[[#This Row],[HalfWidth]],ContinuousStatsTable[[#This Row],[BatchMeansHalfWidth]])</f>
        <v>2.2219705213583314E-2</v>
      </c>
    </row>
    <row r="250" spans="1:21">
      <c r="A250" t="s">
        <v>67</v>
      </c>
      <c r="B250" t="s">
        <v>70</v>
      </c>
      <c r="C250">
        <v>28</v>
      </c>
      <c r="D250" t="s">
        <v>90</v>
      </c>
      <c r="E250" t="s">
        <v>94</v>
      </c>
      <c r="F250" t="s">
        <v>92</v>
      </c>
      <c r="G250">
        <v>2</v>
      </c>
      <c r="H250">
        <v>2E+20</v>
      </c>
      <c r="I250">
        <v>2</v>
      </c>
      <c r="J250">
        <v>2</v>
      </c>
      <c r="K250">
        <v>2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30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2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2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2</v>
      </c>
      <c r="U250" s="5">
        <f>IF((ContinuousStatsTable[[#This Row],[RepsRequested]]&gt;1),ContinuousStatsTable[[#This Row],[HalfWidth]],ContinuousStatsTable[[#This Row],[BatchMeansHalfWidth]])</f>
        <v>0</v>
      </c>
    </row>
    <row r="251" spans="1:21">
      <c r="A251" t="s">
        <v>67</v>
      </c>
      <c r="B251" t="s">
        <v>70</v>
      </c>
      <c r="C251">
        <v>28</v>
      </c>
      <c r="D251" t="s">
        <v>95</v>
      </c>
      <c r="E251" t="s">
        <v>91</v>
      </c>
      <c r="F251" t="s">
        <v>92</v>
      </c>
      <c r="G251">
        <v>0.67395224122644704</v>
      </c>
      <c r="H251">
        <v>3.9248784830353503E-2</v>
      </c>
      <c r="I251">
        <v>0</v>
      </c>
      <c r="J251">
        <v>1</v>
      </c>
      <c r="K251">
        <v>0.5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30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0.62568527922134098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0.72090720879040104</v>
      </c>
      <c r="U251" s="5">
        <f>IF((ContinuousStatsTable[[#This Row],[RepsRequested]]&gt;1),ContinuousStatsTable[[#This Row],[HalfWidth]],ContinuousStatsTable[[#This Row],[BatchMeansHalfWidth]])</f>
        <v>9.4948322151438332E-3</v>
      </c>
    </row>
    <row r="252" spans="1:21">
      <c r="A252" t="s">
        <v>67</v>
      </c>
      <c r="B252" t="s">
        <v>70</v>
      </c>
      <c r="C252">
        <v>28</v>
      </c>
      <c r="D252" t="s">
        <v>95</v>
      </c>
      <c r="E252" t="s">
        <v>93</v>
      </c>
      <c r="F252" t="s">
        <v>92</v>
      </c>
      <c r="G252">
        <v>1.3479044824528901</v>
      </c>
      <c r="H252">
        <v>7.8497569660707103E-2</v>
      </c>
      <c r="I252">
        <v>0</v>
      </c>
      <c r="J252">
        <v>2</v>
      </c>
      <c r="K252">
        <v>1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30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1.25137055844268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1.4418144175808001</v>
      </c>
      <c r="U252" s="5">
        <f>IF((ContinuousStatsTable[[#This Row],[RepsRequested]]&gt;1),ContinuousStatsTable[[#This Row],[HalfWidth]],ContinuousStatsTable[[#This Row],[BatchMeansHalfWidth]])</f>
        <v>1.8989664430287469E-2</v>
      </c>
    </row>
    <row r="253" spans="1:21">
      <c r="A253" t="s">
        <v>67</v>
      </c>
      <c r="B253" t="s">
        <v>70</v>
      </c>
      <c r="C253">
        <v>28</v>
      </c>
      <c r="D253" t="s">
        <v>95</v>
      </c>
      <c r="E253" t="s">
        <v>94</v>
      </c>
      <c r="F253" t="s">
        <v>92</v>
      </c>
      <c r="G253">
        <v>2</v>
      </c>
      <c r="H253">
        <v>2E+20</v>
      </c>
      <c r="I253">
        <v>2</v>
      </c>
      <c r="J253">
        <v>2</v>
      </c>
      <c r="K253">
        <v>2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30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2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2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2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>
      <c r="A254" t="s">
        <v>67</v>
      </c>
      <c r="B254" t="s">
        <v>70</v>
      </c>
      <c r="C254">
        <v>29</v>
      </c>
      <c r="D254" t="s">
        <v>71</v>
      </c>
      <c r="E254" t="s">
        <v>88</v>
      </c>
      <c r="F254" t="s">
        <v>73</v>
      </c>
      <c r="G254">
        <v>8.3550459526658596</v>
      </c>
      <c r="H254">
        <v>3E+20</v>
      </c>
      <c r="I254">
        <v>0</v>
      </c>
      <c r="J254">
        <v>28</v>
      </c>
      <c r="K254">
        <v>11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30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4.1194471364998897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8.3550459526658596</v>
      </c>
      <c r="U254" s="5">
        <f>IF((ContinuousStatsTable[[#This Row],[RepsRequested]]&gt;1),ContinuousStatsTable[[#This Row],[HalfWidth]],ContinuousStatsTable[[#This Row],[BatchMeansHalfWidth]])</f>
        <v>0.33154533313227752</v>
      </c>
    </row>
    <row r="255" spans="1:21">
      <c r="A255" t="s">
        <v>67</v>
      </c>
      <c r="B255" t="s">
        <v>70</v>
      </c>
      <c r="C255">
        <v>29</v>
      </c>
      <c r="D255" t="s">
        <v>79</v>
      </c>
      <c r="E255" t="s">
        <v>89</v>
      </c>
      <c r="F255" t="s">
        <v>81</v>
      </c>
      <c r="G255">
        <v>6.2564679398689704E-2</v>
      </c>
      <c r="H255">
        <v>1.29846377078962E-2</v>
      </c>
      <c r="I255">
        <v>0</v>
      </c>
      <c r="J255">
        <v>2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30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4.2893123096714503E-2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8.2167854080019698E-2</v>
      </c>
      <c r="U255" s="5">
        <f>IF((ContinuousStatsTable[[#This Row],[RepsRequested]]&gt;1),ContinuousStatsTable[[#This Row],[HalfWidth]],ContinuousStatsTable[[#This Row],[BatchMeansHalfWidth]])</f>
        <v>3.7191130285907097E-3</v>
      </c>
    </row>
    <row r="256" spans="1:21">
      <c r="A256" t="s">
        <v>67</v>
      </c>
      <c r="B256" t="s">
        <v>70</v>
      </c>
      <c r="C256">
        <v>29</v>
      </c>
      <c r="D256" t="s">
        <v>82</v>
      </c>
      <c r="E256" t="s">
        <v>89</v>
      </c>
      <c r="F256" t="s">
        <v>81</v>
      </c>
      <c r="G256">
        <v>5.0272524622418899</v>
      </c>
      <c r="H256">
        <v>3E+20</v>
      </c>
      <c r="I256">
        <v>0</v>
      </c>
      <c r="J256">
        <v>25</v>
      </c>
      <c r="K256">
        <v>7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30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1.16047720119272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5.0272524622418899</v>
      </c>
      <c r="U256" s="5">
        <f>IF((ContinuousStatsTable[[#This Row],[RepsRequested]]&gt;1),ContinuousStatsTable[[#This Row],[HalfWidth]],ContinuousStatsTable[[#This Row],[BatchMeansHalfWidth]])</f>
        <v>0.29961479841885524</v>
      </c>
    </row>
    <row r="257" spans="1:21">
      <c r="A257" t="s">
        <v>67</v>
      </c>
      <c r="B257" t="s">
        <v>70</v>
      </c>
      <c r="C257">
        <v>29</v>
      </c>
      <c r="D257" t="s">
        <v>90</v>
      </c>
      <c r="E257" t="s">
        <v>91</v>
      </c>
      <c r="F257" t="s">
        <v>92</v>
      </c>
      <c r="G257">
        <v>0.91388224334429202</v>
      </c>
      <c r="H257">
        <v>2E+20</v>
      </c>
      <c r="I257">
        <v>0</v>
      </c>
      <c r="J257">
        <v>1</v>
      </c>
      <c r="K257">
        <v>1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30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0.79563957753275305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0.91388224334429202</v>
      </c>
      <c r="U257" s="5">
        <f>IF((ContinuousStatsTable[[#This Row],[RepsRequested]]&gt;1),ContinuousStatsTable[[#This Row],[HalfWidth]],ContinuousStatsTable[[#This Row],[BatchMeansHalfWidth]])</f>
        <v>1.1109852606791693E-2</v>
      </c>
    </row>
    <row r="258" spans="1:21">
      <c r="A258" t="s">
        <v>67</v>
      </c>
      <c r="B258" t="s">
        <v>70</v>
      </c>
      <c r="C258">
        <v>29</v>
      </c>
      <c r="D258" t="s">
        <v>90</v>
      </c>
      <c r="E258" t="s">
        <v>93</v>
      </c>
      <c r="F258" t="s">
        <v>92</v>
      </c>
      <c r="G258">
        <v>1.82776448668858</v>
      </c>
      <c r="H258">
        <v>2E+20</v>
      </c>
      <c r="I258">
        <v>0</v>
      </c>
      <c r="J258">
        <v>2</v>
      </c>
      <c r="K258">
        <v>2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30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1.5912791550655101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1.82776448668858</v>
      </c>
      <c r="U258" s="5">
        <f>IF((ContinuousStatsTable[[#This Row],[RepsRequested]]&gt;1),ContinuousStatsTable[[#This Row],[HalfWidth]],ContinuousStatsTable[[#This Row],[BatchMeansHalfWidth]])</f>
        <v>2.2219705213583314E-2</v>
      </c>
    </row>
    <row r="259" spans="1:21">
      <c r="A259" t="s">
        <v>67</v>
      </c>
      <c r="B259" t="s">
        <v>70</v>
      </c>
      <c r="C259">
        <v>29</v>
      </c>
      <c r="D259" t="s">
        <v>90</v>
      </c>
      <c r="E259" t="s">
        <v>94</v>
      </c>
      <c r="F259" t="s">
        <v>92</v>
      </c>
      <c r="G259">
        <v>2</v>
      </c>
      <c r="H259">
        <v>2E+20</v>
      </c>
      <c r="I259">
        <v>2</v>
      </c>
      <c r="J259">
        <v>2</v>
      </c>
      <c r="K259">
        <v>2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30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2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2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2</v>
      </c>
      <c r="U259" s="5">
        <f>IF((ContinuousStatsTable[[#This Row],[RepsRequested]]&gt;1),ContinuousStatsTable[[#This Row],[HalfWidth]],ContinuousStatsTable[[#This Row],[BatchMeansHalfWidth]])</f>
        <v>0</v>
      </c>
    </row>
    <row r="260" spans="1:21">
      <c r="A260" t="s">
        <v>67</v>
      </c>
      <c r="B260" t="s">
        <v>70</v>
      </c>
      <c r="C260">
        <v>29</v>
      </c>
      <c r="D260" t="s">
        <v>95</v>
      </c>
      <c r="E260" t="s">
        <v>91</v>
      </c>
      <c r="F260" t="s">
        <v>92</v>
      </c>
      <c r="G260">
        <v>0.71873216216834901</v>
      </c>
      <c r="H260">
        <v>3.0999346033552502E-2</v>
      </c>
      <c r="I260">
        <v>0</v>
      </c>
      <c r="J260">
        <v>1</v>
      </c>
      <c r="K260">
        <v>1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30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0.62568527922134098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0.72090720879040104</v>
      </c>
      <c r="U260" s="5">
        <f>IF((ContinuousStatsTable[[#This Row],[RepsRequested]]&gt;1),ContinuousStatsTable[[#This Row],[HalfWidth]],ContinuousStatsTable[[#This Row],[BatchMeansHalfWidth]])</f>
        <v>9.4948322151438332E-3</v>
      </c>
    </row>
    <row r="261" spans="1:21">
      <c r="A261" t="s">
        <v>67</v>
      </c>
      <c r="B261" t="s">
        <v>70</v>
      </c>
      <c r="C261">
        <v>29</v>
      </c>
      <c r="D261" t="s">
        <v>95</v>
      </c>
      <c r="E261" t="s">
        <v>93</v>
      </c>
      <c r="F261" t="s">
        <v>92</v>
      </c>
      <c r="G261">
        <v>1.4374643243367</v>
      </c>
      <c r="H261">
        <v>6.1998692067105003E-2</v>
      </c>
      <c r="I261">
        <v>0</v>
      </c>
      <c r="J261">
        <v>2</v>
      </c>
      <c r="K261">
        <v>2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30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1.25137055844268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1.4418144175808001</v>
      </c>
      <c r="U261" s="5">
        <f>IF((ContinuousStatsTable[[#This Row],[RepsRequested]]&gt;1),ContinuousStatsTable[[#This Row],[HalfWidth]],ContinuousStatsTable[[#This Row],[BatchMeansHalfWidth]])</f>
        <v>1.8989664430287469E-2</v>
      </c>
    </row>
    <row r="262" spans="1:21">
      <c r="A262" t="s">
        <v>67</v>
      </c>
      <c r="B262" t="s">
        <v>70</v>
      </c>
      <c r="C262">
        <v>29</v>
      </c>
      <c r="D262" t="s">
        <v>95</v>
      </c>
      <c r="E262" t="s">
        <v>94</v>
      </c>
      <c r="F262" t="s">
        <v>92</v>
      </c>
      <c r="G262">
        <v>2</v>
      </c>
      <c r="H262">
        <v>2E+20</v>
      </c>
      <c r="I262">
        <v>2</v>
      </c>
      <c r="J262">
        <v>2</v>
      </c>
      <c r="K262">
        <v>2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30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2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0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2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2</v>
      </c>
      <c r="U262" s="5">
        <f>IF((ContinuousStatsTable[[#This Row],[RepsRequested]]&gt;1),ContinuousStatsTable[[#This Row],[HalfWidth]],ContinuousStatsTable[[#This Row],[BatchMeansHalfWidth]])</f>
        <v>0</v>
      </c>
    </row>
    <row r="263" spans="1:21">
      <c r="A263" t="s">
        <v>67</v>
      </c>
      <c r="B263" t="s">
        <v>70</v>
      </c>
      <c r="C263">
        <v>30</v>
      </c>
      <c r="D263" t="s">
        <v>71</v>
      </c>
      <c r="E263" t="s">
        <v>88</v>
      </c>
      <c r="F263" t="s">
        <v>73</v>
      </c>
      <c r="G263">
        <v>4.3912537221678196</v>
      </c>
      <c r="H263">
        <v>0.45124506924524199</v>
      </c>
      <c r="I263">
        <v>0</v>
      </c>
      <c r="J263">
        <v>12</v>
      </c>
      <c r="K263">
        <v>7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30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5.3716564792553259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0.88789470899097533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0.33154533313227752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4.1194471364998897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8.3550459526658596</v>
      </c>
      <c r="U263" s="5">
        <f>IF((ContinuousStatsTable[[#This Row],[RepsRequested]]&gt;1),ContinuousStatsTable[[#This Row],[HalfWidth]],ContinuousStatsTable[[#This Row],[BatchMeansHalfWidth]])</f>
        <v>0.33154533313227752</v>
      </c>
    </row>
    <row r="264" spans="1:21">
      <c r="A264" t="s">
        <v>67</v>
      </c>
      <c r="B264" t="s">
        <v>70</v>
      </c>
      <c r="C264">
        <v>30</v>
      </c>
      <c r="D264" t="s">
        <v>79</v>
      </c>
      <c r="E264" t="s">
        <v>89</v>
      </c>
      <c r="F264" t="s">
        <v>81</v>
      </c>
      <c r="G264">
        <v>6.8883751693662801E-2</v>
      </c>
      <c r="H264">
        <v>2.05533546433216E-2</v>
      </c>
      <c r="I264">
        <v>0</v>
      </c>
      <c r="J264">
        <v>2</v>
      </c>
      <c r="K264">
        <v>0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ProjectEsperar Pedido.QueueNumber WaitingQueue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30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6.4486663216296092E-2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9.9599676129587186E-3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3.7191130285907097E-3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4.2893123096714503E-2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8.2167854080019698E-2</v>
      </c>
      <c r="U264" s="5">
        <f>IF((ContinuousStatsTable[[#This Row],[RepsRequested]]&gt;1),ContinuousStatsTable[[#This Row],[HalfWidth]],ContinuousStatsTable[[#This Row],[BatchMeansHalfWidth]])</f>
        <v>3.7191130285907097E-3</v>
      </c>
    </row>
    <row r="265" spans="1:21">
      <c r="A265" t="s">
        <v>67</v>
      </c>
      <c r="B265" t="s">
        <v>70</v>
      </c>
      <c r="C265">
        <v>30</v>
      </c>
      <c r="D265" t="s">
        <v>82</v>
      </c>
      <c r="E265" t="s">
        <v>89</v>
      </c>
      <c r="F265" t="s">
        <v>81</v>
      </c>
      <c r="G265">
        <v>1.24110036356585</v>
      </c>
      <c r="H265">
        <v>3E+20</v>
      </c>
      <c r="I265">
        <v>0</v>
      </c>
      <c r="J265">
        <v>9</v>
      </c>
      <c r="K265">
        <v>3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ProjectOcuparCajero.QueueNumber WaitingQueue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30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2.2371764556984122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0.80238316654381003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0.29961479841885524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1.16047720119272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5.0272524622418899</v>
      </c>
      <c r="U265" s="5">
        <f>IF((ContinuousStatsTable[[#This Row],[RepsRequested]]&gt;1),ContinuousStatsTable[[#This Row],[HalfWidth]],ContinuousStatsTable[[#This Row],[BatchMeansHalfWidth]])</f>
        <v>0.29961479841885524</v>
      </c>
    </row>
    <row r="266" spans="1:21">
      <c r="A266" t="s">
        <v>67</v>
      </c>
      <c r="B266" t="s">
        <v>70</v>
      </c>
      <c r="C266">
        <v>30</v>
      </c>
      <c r="D266" t="s">
        <v>90</v>
      </c>
      <c r="E266" t="s">
        <v>91</v>
      </c>
      <c r="F266" t="s">
        <v>92</v>
      </c>
      <c r="G266">
        <v>0.84529018536164602</v>
      </c>
      <c r="H266">
        <v>3.8576460972963598E-2</v>
      </c>
      <c r="I266">
        <v>0</v>
      </c>
      <c r="J266">
        <v>1</v>
      </c>
      <c r="K266">
        <v>1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ProjectrCajeroInstantaneous UtilizationResource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30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0.85304256406630496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2.975273171257193E-2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1.1109852606791693E-2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0.79563957753275305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0.91388224334429202</v>
      </c>
      <c r="U266" s="5">
        <f>IF((ContinuousStatsTable[[#This Row],[RepsRequested]]&gt;1),ContinuousStatsTable[[#This Row],[HalfWidth]],ContinuousStatsTable[[#This Row],[BatchMeansHalfWidth]])</f>
        <v>1.1109852606791693E-2</v>
      </c>
    </row>
    <row r="267" spans="1:21">
      <c r="A267" t="s">
        <v>67</v>
      </c>
      <c r="B267" t="s">
        <v>70</v>
      </c>
      <c r="C267">
        <v>30</v>
      </c>
      <c r="D267" t="s">
        <v>90</v>
      </c>
      <c r="E267" t="s">
        <v>93</v>
      </c>
      <c r="F267" t="s">
        <v>92</v>
      </c>
      <c r="G267">
        <v>1.69058037072329</v>
      </c>
      <c r="H267">
        <v>7.7152921945927294E-2</v>
      </c>
      <c r="I267">
        <v>0</v>
      </c>
      <c r="J267">
        <v>2</v>
      </c>
      <c r="K267">
        <v>2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ProjectrCajeroNumber BusyResource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30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1.7060851281326097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5.9505463425143672E-2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2.2219705213583314E-2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1.5912791550655101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1.82776448668858</v>
      </c>
      <c r="U267" s="5">
        <f>IF((ContinuousStatsTable[[#This Row],[RepsRequested]]&gt;1),ContinuousStatsTable[[#This Row],[HalfWidth]],ContinuousStatsTable[[#This Row],[BatchMeansHalfWidth]])</f>
        <v>2.2219705213583314E-2</v>
      </c>
    </row>
    <row r="268" spans="1:21">
      <c r="A268" t="s">
        <v>67</v>
      </c>
      <c r="B268" t="s">
        <v>70</v>
      </c>
      <c r="C268">
        <v>30</v>
      </c>
      <c r="D268" t="s">
        <v>90</v>
      </c>
      <c r="E268" t="s">
        <v>94</v>
      </c>
      <c r="F268" t="s">
        <v>92</v>
      </c>
      <c r="G268">
        <v>2</v>
      </c>
      <c r="H268">
        <v>2E+20</v>
      </c>
      <c r="I268">
        <v>2</v>
      </c>
      <c r="J268">
        <v>2</v>
      </c>
      <c r="K268">
        <v>2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ProjectrCajeroNumber ScheduledResource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30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2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0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2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2</v>
      </c>
      <c r="U268" s="5">
        <f>IF((ContinuousStatsTable[[#This Row],[RepsRequested]]&gt;1),ContinuousStatsTable[[#This Row],[HalfWidth]],ContinuousStatsTable[[#This Row],[BatchMeansHalfWidth]])</f>
        <v>0</v>
      </c>
    </row>
    <row r="269" spans="1:21">
      <c r="A269" t="s">
        <v>67</v>
      </c>
      <c r="B269" t="s">
        <v>70</v>
      </c>
      <c r="C269">
        <v>30</v>
      </c>
      <c r="D269" t="s">
        <v>95</v>
      </c>
      <c r="E269" t="s">
        <v>91</v>
      </c>
      <c r="F269" t="s">
        <v>92</v>
      </c>
      <c r="G269">
        <v>0.69534461809250703</v>
      </c>
      <c r="H269">
        <v>3.4822089803653498E-2</v>
      </c>
      <c r="I269">
        <v>0</v>
      </c>
      <c r="J269">
        <v>1</v>
      </c>
      <c r="K269">
        <v>1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ProjectrchefInstantaneous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30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0.6819541161040038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2.5427627669908321E-2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9.4948322151438332E-3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0.62568527922134098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0.72090720879040104</v>
      </c>
      <c r="U269" s="5">
        <f>IF((ContinuousStatsTable[[#This Row],[RepsRequested]]&gt;1),ContinuousStatsTable[[#This Row],[HalfWidth]],ContinuousStatsTable[[#This Row],[BatchMeansHalfWidth]])</f>
        <v>9.4948322151438332E-3</v>
      </c>
    </row>
    <row r="270" spans="1:21">
      <c r="A270" t="s">
        <v>67</v>
      </c>
      <c r="B270" t="s">
        <v>70</v>
      </c>
      <c r="C270">
        <v>30</v>
      </c>
      <c r="D270" t="s">
        <v>95</v>
      </c>
      <c r="E270" t="s">
        <v>93</v>
      </c>
      <c r="F270" t="s">
        <v>92</v>
      </c>
      <c r="G270">
        <v>1.3906892361850101</v>
      </c>
      <c r="H270">
        <v>6.9644179607307094E-2</v>
      </c>
      <c r="I270">
        <v>0</v>
      </c>
      <c r="J270">
        <v>2</v>
      </c>
      <c r="K270">
        <v>2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ProjectrchefNumber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30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1.3639082322080078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5.0855255339816108E-2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1.8989664430287469E-2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1.25137055844268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1.4418144175808001</v>
      </c>
      <c r="U270" s="5">
        <f>IF((ContinuousStatsTable[[#This Row],[RepsRequested]]&gt;1),ContinuousStatsTable[[#This Row],[HalfWidth]],ContinuousStatsTable[[#This Row],[BatchMeansHalfWidth]])</f>
        <v>1.8989664430287469E-2</v>
      </c>
    </row>
    <row r="271" spans="1:21">
      <c r="A271" t="s">
        <v>67</v>
      </c>
      <c r="B271" t="s">
        <v>70</v>
      </c>
      <c r="C271">
        <v>30</v>
      </c>
      <c r="D271" t="s">
        <v>95</v>
      </c>
      <c r="E271" t="s">
        <v>94</v>
      </c>
      <c r="F271" t="s">
        <v>92</v>
      </c>
      <c r="G271">
        <v>2</v>
      </c>
      <c r="H271">
        <v>2E+20</v>
      </c>
      <c r="I271">
        <v>2</v>
      </c>
      <c r="J271">
        <v>2</v>
      </c>
      <c r="K271">
        <v>2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ProjectrchefNumber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30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2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2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2</v>
      </c>
      <c r="U27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271">
    <cfRule type="expression" dxfId="11" priority="9">
      <formula>H2=200000000000000000000</formula>
    </cfRule>
  </conditionalFormatting>
  <conditionalFormatting sqref="H2:H271">
    <cfRule type="expression" dxfId="10" priority="7">
      <formula>H2=300000000000000000000</formula>
    </cfRule>
  </conditionalFormatting>
  <conditionalFormatting sqref="M2:U271">
    <cfRule type="expression" dxfId="9" priority="5">
      <formula>MOD(ROW(),2)=0</formula>
    </cfRule>
  </conditionalFormatting>
  <conditionalFormatting sqref="U2:U27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71 U2:U27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91"/>
  <sheetViews>
    <sheetView workbookViewId="0">
      <selection activeCell="G2" sqref="G2"/>
    </sheetView>
  </sheetViews>
  <sheetFormatPr defaultRowHeight="15"/>
  <cols>
    <col min="1" max="1" width="16.42578125" bestFit="1" customWidth="1"/>
    <col min="2" max="2" width="22.28515625" bestFit="1" customWidth="1"/>
    <col min="3" max="3" width="13.28515625" bestFit="1" customWidth="1"/>
    <col min="4" max="4" width="13.85546875" bestFit="1" customWidth="1"/>
    <col min="5" max="5" width="7.5703125" bestFit="1" customWidth="1"/>
    <col min="6" max="6" width="13.85546875" bestFit="1" customWidth="1"/>
    <col min="7" max="7" width="17" bestFit="1" customWidth="1"/>
    <col min="8" max="8" width="48.28515625" bestFit="1" customWidth="1"/>
    <col min="9" max="9" width="17.28515625" bestFit="1" customWidth="1"/>
    <col min="10" max="10" width="12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>
      <c r="A2" t="s">
        <v>67</v>
      </c>
      <c r="B2" t="s">
        <v>70</v>
      </c>
      <c r="C2">
        <v>1</v>
      </c>
      <c r="D2" t="s">
        <v>96</v>
      </c>
      <c r="E2" t="s">
        <v>97</v>
      </c>
      <c r="F2" t="s">
        <v>85</v>
      </c>
      <c r="G2">
        <v>214</v>
      </c>
      <c r="H2" t="str">
        <f>CountersTable[[#This Row],[ProjectName]]&amp;CountersTable[[#This Row],[Name]]&amp;CountersTable[[#This Row],[Type]]&amp;CountersTable[[#This Row],[Source]]</f>
        <v>Unnamed ProjectContadortipo1CountUser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209.43333333333334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16.39319314865763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2" cm="1">
        <f t="array" ref="N2">MIN(IF((CountersTable[GroupByKey]=CountersTable[[#This Row],[GroupByKey]]),(CountersTable[GroupByKey]=CountersTable[[#This Row],[GroupByKey]])*CountersTable[RecordedValue]))</f>
        <v>185</v>
      </c>
      <c r="O2" cm="1">
        <f t="array" ref="O2">MAX(IF((CountersTable[GroupByKey]=CountersTable[[#This Row],[GroupByKey]]),(CountersTable[GroupByKey]=CountersTable[[#This Row],[GroupByKey]])*CountersTable[RecordedValue]))</f>
        <v>251</v>
      </c>
    </row>
    <row r="3" spans="1:15">
      <c r="A3" t="s">
        <v>67</v>
      </c>
      <c r="B3" t="s">
        <v>70</v>
      </c>
      <c r="C3">
        <v>1</v>
      </c>
      <c r="D3" t="s">
        <v>98</v>
      </c>
      <c r="E3" t="s">
        <v>97</v>
      </c>
      <c r="F3" t="s">
        <v>85</v>
      </c>
      <c r="G3">
        <v>103</v>
      </c>
      <c r="H3" t="str">
        <f>CountersTable[[#This Row],[ProjectName]]&amp;CountersTable[[#This Row],[Name]]&amp;CountersTable[[#This Row],[Type]]&amp;CountersTable[[#This Row],[Source]]</f>
        <v>Unnamed ProjectContadortipo2CountUser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100.8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8.8255116096696504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3" cm="1">
        <f t="array" ref="N3">MIN(IF((CountersTable[GroupByKey]=CountersTable[[#This Row],[GroupByKey]]),(CountersTable[GroupByKey]=CountersTable[[#This Row],[GroupByKey]])*CountersTable[RecordedValue]))</f>
        <v>78</v>
      </c>
      <c r="O3" cm="1">
        <f t="array" ref="O3">MAX(IF((CountersTable[GroupByKey]=CountersTable[[#This Row],[GroupByKey]]),(CountersTable[GroupByKey]=CountersTable[[#This Row],[GroupByKey]])*CountersTable[RecordedValue]))</f>
        <v>116</v>
      </c>
    </row>
    <row r="4" spans="1:15">
      <c r="A4" t="s">
        <v>67</v>
      </c>
      <c r="B4" t="s">
        <v>70</v>
      </c>
      <c r="C4">
        <v>1</v>
      </c>
      <c r="D4" t="s">
        <v>99</v>
      </c>
      <c r="E4" t="s">
        <v>97</v>
      </c>
      <c r="F4" t="s">
        <v>85</v>
      </c>
      <c r="G4">
        <v>386</v>
      </c>
      <c r="H4" t="str">
        <f>CountersTable[[#This Row],[ProjectName]]&amp;CountersTable[[#This Row],[Name]]&amp;CountersTable[[#This Row],[Type]]&amp;CountersTable[[#This Row],[Source]]</f>
        <v>Unnamed ProjectContadortipo3CountUser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369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16.552945357246848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4" cm="1">
        <f t="array" ref="N4">MIN(IF((CountersTable[GroupByKey]=CountersTable[[#This Row],[GroupByKey]]),(CountersTable[GroupByKey]=CountersTable[[#This Row],[GroupByKey]])*CountersTable[RecordedValue]))</f>
        <v>325</v>
      </c>
      <c r="O4" cm="1">
        <f t="array" ref="O4">MAX(IF((CountersTable[GroupByKey]=CountersTable[[#This Row],[GroupByKey]]),(CountersTable[GroupByKey]=CountersTable[[#This Row],[GroupByKey]])*CountersTable[RecordedValue]))</f>
        <v>392</v>
      </c>
    </row>
    <row r="5" spans="1:15">
      <c r="A5" t="s">
        <v>67</v>
      </c>
      <c r="B5" t="s">
        <v>70</v>
      </c>
      <c r="C5">
        <v>2</v>
      </c>
      <c r="D5" t="s">
        <v>96</v>
      </c>
      <c r="E5" t="s">
        <v>97</v>
      </c>
      <c r="F5" t="s">
        <v>85</v>
      </c>
      <c r="G5">
        <v>194</v>
      </c>
      <c r="H5" t="str">
        <f>CountersTable[[#This Row],[ProjectName]]&amp;CountersTable[[#This Row],[Name]]&amp;CountersTable[[#This Row],[Type]]&amp;CountersTable[[#This Row],[Source]]</f>
        <v>Unnamed ProjectContadortipo1CountUser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209.43333333333334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16.39319314865763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5" cm="1">
        <f t="array" ref="N5">MIN(IF((CountersTable[GroupByKey]=CountersTable[[#This Row],[GroupByKey]]),(CountersTable[GroupByKey]=CountersTable[[#This Row],[GroupByKey]])*CountersTable[RecordedValue]))</f>
        <v>185</v>
      </c>
      <c r="O5" cm="1">
        <f t="array" ref="O5">MAX(IF((CountersTable[GroupByKey]=CountersTable[[#This Row],[GroupByKey]]),(CountersTable[GroupByKey]=CountersTable[[#This Row],[GroupByKey]])*CountersTable[RecordedValue]))</f>
        <v>251</v>
      </c>
    </row>
    <row r="6" spans="1:15">
      <c r="A6" t="s">
        <v>67</v>
      </c>
      <c r="B6" t="s">
        <v>70</v>
      </c>
      <c r="C6">
        <v>2</v>
      </c>
      <c r="D6" t="s">
        <v>98</v>
      </c>
      <c r="E6" t="s">
        <v>97</v>
      </c>
      <c r="F6" t="s">
        <v>85</v>
      </c>
      <c r="G6">
        <v>116</v>
      </c>
      <c r="H6" t="str">
        <f>CountersTable[[#This Row],[ProjectName]]&amp;CountersTable[[#This Row],[Name]]&amp;CountersTable[[#This Row],[Type]]&amp;CountersTable[[#This Row],[Source]]</f>
        <v>Unnamed ProjectContadortipo2CountUser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100.8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8.8255116096696504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6" cm="1">
        <f t="array" ref="N6">MIN(IF((CountersTable[GroupByKey]=CountersTable[[#This Row],[GroupByKey]]),(CountersTable[GroupByKey]=CountersTable[[#This Row],[GroupByKey]])*CountersTable[RecordedValue]))</f>
        <v>78</v>
      </c>
      <c r="O6" cm="1">
        <f t="array" ref="O6">MAX(IF((CountersTable[GroupByKey]=CountersTable[[#This Row],[GroupByKey]]),(CountersTable[GroupByKey]=CountersTable[[#This Row],[GroupByKey]])*CountersTable[RecordedValue]))</f>
        <v>116</v>
      </c>
    </row>
    <row r="7" spans="1:15">
      <c r="A7" t="s">
        <v>67</v>
      </c>
      <c r="B7" t="s">
        <v>70</v>
      </c>
      <c r="C7">
        <v>2</v>
      </c>
      <c r="D7" t="s">
        <v>99</v>
      </c>
      <c r="E7" t="s">
        <v>97</v>
      </c>
      <c r="F7" t="s">
        <v>85</v>
      </c>
      <c r="G7">
        <v>369</v>
      </c>
      <c r="H7" t="str">
        <f>CountersTable[[#This Row],[ProjectName]]&amp;CountersTable[[#This Row],[Name]]&amp;CountersTable[[#This Row],[Type]]&amp;CountersTable[[#This Row],[Source]]</f>
        <v>Unnamed ProjectContadortipo3CountUser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369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16.552945357246848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7" cm="1">
        <f t="array" ref="N7">MIN(IF((CountersTable[GroupByKey]=CountersTable[[#This Row],[GroupByKey]]),(CountersTable[GroupByKey]=CountersTable[[#This Row],[GroupByKey]])*CountersTable[RecordedValue]))</f>
        <v>325</v>
      </c>
      <c r="O7" cm="1">
        <f t="array" ref="O7">MAX(IF((CountersTable[GroupByKey]=CountersTable[[#This Row],[GroupByKey]]),(CountersTable[GroupByKey]=CountersTable[[#This Row],[GroupByKey]])*CountersTable[RecordedValue]))</f>
        <v>392</v>
      </c>
    </row>
    <row r="8" spans="1:15">
      <c r="A8" t="s">
        <v>67</v>
      </c>
      <c r="B8" t="s">
        <v>70</v>
      </c>
      <c r="C8">
        <v>3</v>
      </c>
      <c r="D8" t="s">
        <v>96</v>
      </c>
      <c r="E8" t="s">
        <v>97</v>
      </c>
      <c r="F8" t="s">
        <v>85</v>
      </c>
      <c r="G8">
        <v>185</v>
      </c>
      <c r="H8" t="str">
        <f>CountersTable[[#This Row],[ProjectName]]&amp;CountersTable[[#This Row],[Name]]&amp;CountersTable[[#This Row],[Type]]&amp;CountersTable[[#This Row],[Source]]</f>
        <v>Unnamed ProjectContadortipo1CountUser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209.43333333333334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16.39319314865763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8" cm="1">
        <f t="array" ref="N8">MIN(IF((CountersTable[GroupByKey]=CountersTable[[#This Row],[GroupByKey]]),(CountersTable[GroupByKey]=CountersTable[[#This Row],[GroupByKey]])*CountersTable[RecordedValue]))</f>
        <v>185</v>
      </c>
      <c r="O8" cm="1">
        <f t="array" ref="O8">MAX(IF((CountersTable[GroupByKey]=CountersTable[[#This Row],[GroupByKey]]),(CountersTable[GroupByKey]=CountersTable[[#This Row],[GroupByKey]])*CountersTable[RecordedValue]))</f>
        <v>251</v>
      </c>
    </row>
    <row r="9" spans="1:15">
      <c r="A9" t="s">
        <v>67</v>
      </c>
      <c r="B9" t="s">
        <v>70</v>
      </c>
      <c r="C9">
        <v>3</v>
      </c>
      <c r="D9" t="s">
        <v>98</v>
      </c>
      <c r="E9" t="s">
        <v>97</v>
      </c>
      <c r="F9" t="s">
        <v>85</v>
      </c>
      <c r="G9">
        <v>95</v>
      </c>
      <c r="H9" t="str">
        <f>CountersTable[[#This Row],[ProjectName]]&amp;CountersTable[[#This Row],[Name]]&amp;CountersTable[[#This Row],[Type]]&amp;CountersTable[[#This Row],[Source]]</f>
        <v>Unnamed ProjectContadortipo2CountUser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100.8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8.8255116096696504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9" cm="1">
        <f t="array" ref="N9">MIN(IF((CountersTable[GroupByKey]=CountersTable[[#This Row],[GroupByKey]]),(CountersTable[GroupByKey]=CountersTable[[#This Row],[GroupByKey]])*CountersTable[RecordedValue]))</f>
        <v>78</v>
      </c>
      <c r="O9" cm="1">
        <f t="array" ref="O9">MAX(IF((CountersTable[GroupByKey]=CountersTable[[#This Row],[GroupByKey]]),(CountersTable[GroupByKey]=CountersTable[[#This Row],[GroupByKey]])*CountersTable[RecordedValue]))</f>
        <v>116</v>
      </c>
    </row>
    <row r="10" spans="1:15">
      <c r="A10" t="s">
        <v>67</v>
      </c>
      <c r="B10" t="s">
        <v>70</v>
      </c>
      <c r="C10">
        <v>3</v>
      </c>
      <c r="D10" t="s">
        <v>99</v>
      </c>
      <c r="E10" t="s">
        <v>97</v>
      </c>
      <c r="F10" t="s">
        <v>85</v>
      </c>
      <c r="G10">
        <v>379</v>
      </c>
      <c r="H10" t="str">
        <f>CountersTable[[#This Row],[ProjectName]]&amp;CountersTable[[#This Row],[Name]]&amp;CountersTable[[#This Row],[Type]]&amp;CountersTable[[#This Row],[Source]]</f>
        <v>Unnamed ProjectContadortipo3CountUser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369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16.552945357246848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10" cm="1">
        <f t="array" ref="N10">MIN(IF((CountersTable[GroupByKey]=CountersTable[[#This Row],[GroupByKey]]),(CountersTable[GroupByKey]=CountersTable[[#This Row],[GroupByKey]])*CountersTable[RecordedValue]))</f>
        <v>325</v>
      </c>
      <c r="O10" cm="1">
        <f t="array" ref="O10">MAX(IF((CountersTable[GroupByKey]=CountersTable[[#This Row],[GroupByKey]]),(CountersTable[GroupByKey]=CountersTable[[#This Row],[GroupByKey]])*CountersTable[RecordedValue]))</f>
        <v>392</v>
      </c>
    </row>
    <row r="11" spans="1:15">
      <c r="A11" t="s">
        <v>67</v>
      </c>
      <c r="B11" t="s">
        <v>70</v>
      </c>
      <c r="C11">
        <v>4</v>
      </c>
      <c r="D11" t="s">
        <v>96</v>
      </c>
      <c r="E11" t="s">
        <v>97</v>
      </c>
      <c r="F11" t="s">
        <v>85</v>
      </c>
      <c r="G11">
        <v>210</v>
      </c>
      <c r="H11" t="str">
        <f>CountersTable[[#This Row],[ProjectName]]&amp;CountersTable[[#This Row],[Name]]&amp;CountersTable[[#This Row],[Type]]&amp;CountersTable[[#This Row],[Source]]</f>
        <v>Unnamed ProjectContadortipo1CountUser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209.43333333333334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16.39319314865763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11" cm="1">
        <f t="array" ref="N11">MIN(IF((CountersTable[GroupByKey]=CountersTable[[#This Row],[GroupByKey]]),(CountersTable[GroupByKey]=CountersTable[[#This Row],[GroupByKey]])*CountersTable[RecordedValue]))</f>
        <v>185</v>
      </c>
      <c r="O11" cm="1">
        <f t="array" ref="O11">MAX(IF((CountersTable[GroupByKey]=CountersTable[[#This Row],[GroupByKey]]),(CountersTable[GroupByKey]=CountersTable[[#This Row],[GroupByKey]])*CountersTable[RecordedValue]))</f>
        <v>251</v>
      </c>
    </row>
    <row r="12" spans="1:15">
      <c r="A12" t="s">
        <v>67</v>
      </c>
      <c r="B12" t="s">
        <v>70</v>
      </c>
      <c r="C12">
        <v>4</v>
      </c>
      <c r="D12" t="s">
        <v>98</v>
      </c>
      <c r="E12" t="s">
        <v>97</v>
      </c>
      <c r="F12" t="s">
        <v>85</v>
      </c>
      <c r="G12">
        <v>96</v>
      </c>
      <c r="H12" t="str">
        <f>CountersTable[[#This Row],[ProjectName]]&amp;CountersTable[[#This Row],[Name]]&amp;CountersTable[[#This Row],[Type]]&amp;CountersTable[[#This Row],[Source]]</f>
        <v>Unnamed ProjectContadortipo2CountUser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100.8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8.8255116096696504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12" cm="1">
        <f t="array" ref="N12">MIN(IF((CountersTable[GroupByKey]=CountersTable[[#This Row],[GroupByKey]]),(CountersTable[GroupByKey]=CountersTable[[#This Row],[GroupByKey]])*CountersTable[RecordedValue]))</f>
        <v>78</v>
      </c>
      <c r="O12" cm="1">
        <f t="array" ref="O12">MAX(IF((CountersTable[GroupByKey]=CountersTable[[#This Row],[GroupByKey]]),(CountersTable[GroupByKey]=CountersTable[[#This Row],[GroupByKey]])*CountersTable[RecordedValue]))</f>
        <v>116</v>
      </c>
    </row>
    <row r="13" spans="1:15">
      <c r="A13" t="s">
        <v>67</v>
      </c>
      <c r="B13" t="s">
        <v>70</v>
      </c>
      <c r="C13">
        <v>4</v>
      </c>
      <c r="D13" t="s">
        <v>99</v>
      </c>
      <c r="E13" t="s">
        <v>97</v>
      </c>
      <c r="F13" t="s">
        <v>85</v>
      </c>
      <c r="G13">
        <v>390</v>
      </c>
      <c r="H13" t="str">
        <f>CountersTable[[#This Row],[ProjectName]]&amp;CountersTable[[#This Row],[Name]]&amp;CountersTable[[#This Row],[Type]]&amp;CountersTable[[#This Row],[Source]]</f>
        <v>Unnamed ProjectContadortipo3CountUser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369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16.552945357246848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13" cm="1">
        <f t="array" ref="N13">MIN(IF((CountersTable[GroupByKey]=CountersTable[[#This Row],[GroupByKey]]),(CountersTable[GroupByKey]=CountersTable[[#This Row],[GroupByKey]])*CountersTable[RecordedValue]))</f>
        <v>325</v>
      </c>
      <c r="O13" cm="1">
        <f t="array" ref="O13">MAX(IF((CountersTable[GroupByKey]=CountersTable[[#This Row],[GroupByKey]]),(CountersTable[GroupByKey]=CountersTable[[#This Row],[GroupByKey]])*CountersTable[RecordedValue]))</f>
        <v>392</v>
      </c>
    </row>
    <row r="14" spans="1:15">
      <c r="A14" t="s">
        <v>67</v>
      </c>
      <c r="B14" t="s">
        <v>70</v>
      </c>
      <c r="C14">
        <v>5</v>
      </c>
      <c r="D14" t="s">
        <v>96</v>
      </c>
      <c r="E14" t="s">
        <v>97</v>
      </c>
      <c r="F14" t="s">
        <v>85</v>
      </c>
      <c r="G14">
        <v>219</v>
      </c>
      <c r="H14" t="str">
        <f>CountersTable[[#This Row],[ProjectName]]&amp;CountersTable[[#This Row],[Name]]&amp;CountersTable[[#This Row],[Type]]&amp;CountersTable[[#This Row],[Source]]</f>
        <v>Unnamed ProjectContadortipo1CountUser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209.43333333333334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16.39319314865763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14" cm="1">
        <f t="array" ref="N14">MIN(IF((CountersTable[GroupByKey]=CountersTable[[#This Row],[GroupByKey]]),(CountersTable[GroupByKey]=CountersTable[[#This Row],[GroupByKey]])*CountersTable[RecordedValue]))</f>
        <v>185</v>
      </c>
      <c r="O14" cm="1">
        <f t="array" ref="O14">MAX(IF((CountersTable[GroupByKey]=CountersTable[[#This Row],[GroupByKey]]),(CountersTable[GroupByKey]=CountersTable[[#This Row],[GroupByKey]])*CountersTable[RecordedValue]))</f>
        <v>251</v>
      </c>
    </row>
    <row r="15" spans="1:15">
      <c r="A15" t="s">
        <v>67</v>
      </c>
      <c r="B15" t="s">
        <v>70</v>
      </c>
      <c r="C15">
        <v>5</v>
      </c>
      <c r="D15" t="s">
        <v>98</v>
      </c>
      <c r="E15" t="s">
        <v>97</v>
      </c>
      <c r="F15" t="s">
        <v>85</v>
      </c>
      <c r="G15">
        <v>103</v>
      </c>
      <c r="H15" t="str">
        <f>CountersTable[[#This Row],[ProjectName]]&amp;CountersTable[[#This Row],[Name]]&amp;CountersTable[[#This Row],[Type]]&amp;CountersTable[[#This Row],[Source]]</f>
        <v>Unnamed ProjectContadortipo2CountUser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100.8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8.8255116096696504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15" cm="1">
        <f t="array" ref="N15">MIN(IF((CountersTable[GroupByKey]=CountersTable[[#This Row],[GroupByKey]]),(CountersTable[GroupByKey]=CountersTable[[#This Row],[GroupByKey]])*CountersTable[RecordedValue]))</f>
        <v>78</v>
      </c>
      <c r="O15" cm="1">
        <f t="array" ref="O15">MAX(IF((CountersTable[GroupByKey]=CountersTable[[#This Row],[GroupByKey]]),(CountersTable[GroupByKey]=CountersTable[[#This Row],[GroupByKey]])*CountersTable[RecordedValue]))</f>
        <v>116</v>
      </c>
    </row>
    <row r="16" spans="1:15">
      <c r="A16" t="s">
        <v>67</v>
      </c>
      <c r="B16" t="s">
        <v>70</v>
      </c>
      <c r="C16">
        <v>5</v>
      </c>
      <c r="D16" t="s">
        <v>99</v>
      </c>
      <c r="E16" t="s">
        <v>97</v>
      </c>
      <c r="F16" t="s">
        <v>85</v>
      </c>
      <c r="G16">
        <v>379</v>
      </c>
      <c r="H16" t="str">
        <f>CountersTable[[#This Row],[ProjectName]]&amp;CountersTable[[#This Row],[Name]]&amp;CountersTable[[#This Row],[Type]]&amp;CountersTable[[#This Row],[Source]]</f>
        <v>Unnamed ProjectContadortipo3CountUser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369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16.552945357246848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16" cm="1">
        <f t="array" ref="N16">MIN(IF((CountersTable[GroupByKey]=CountersTable[[#This Row],[GroupByKey]]),(CountersTable[GroupByKey]=CountersTable[[#This Row],[GroupByKey]])*CountersTable[RecordedValue]))</f>
        <v>325</v>
      </c>
      <c r="O16" cm="1">
        <f t="array" ref="O16">MAX(IF((CountersTable[GroupByKey]=CountersTable[[#This Row],[GroupByKey]]),(CountersTable[GroupByKey]=CountersTable[[#This Row],[GroupByKey]])*CountersTable[RecordedValue]))</f>
        <v>392</v>
      </c>
    </row>
    <row r="17" spans="1:15">
      <c r="A17" t="s">
        <v>67</v>
      </c>
      <c r="B17" t="s">
        <v>70</v>
      </c>
      <c r="C17">
        <v>6</v>
      </c>
      <c r="D17" t="s">
        <v>96</v>
      </c>
      <c r="E17" t="s">
        <v>97</v>
      </c>
      <c r="F17" t="s">
        <v>85</v>
      </c>
      <c r="G17">
        <v>202</v>
      </c>
      <c r="H17" t="str">
        <f>CountersTable[[#This Row],[ProjectName]]&amp;CountersTable[[#This Row],[Name]]&amp;CountersTable[[#This Row],[Type]]&amp;CountersTable[[#This Row],[Source]]</f>
        <v>Unnamed ProjectContadortipo1CountUser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209.43333333333334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16.39319314865763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17" cm="1">
        <f t="array" ref="N17">MIN(IF((CountersTable[GroupByKey]=CountersTable[[#This Row],[GroupByKey]]),(CountersTable[GroupByKey]=CountersTable[[#This Row],[GroupByKey]])*CountersTable[RecordedValue]))</f>
        <v>185</v>
      </c>
      <c r="O17" cm="1">
        <f t="array" ref="O17">MAX(IF((CountersTable[GroupByKey]=CountersTable[[#This Row],[GroupByKey]]),(CountersTable[GroupByKey]=CountersTable[[#This Row],[GroupByKey]])*CountersTable[RecordedValue]))</f>
        <v>251</v>
      </c>
    </row>
    <row r="18" spans="1:15">
      <c r="A18" t="s">
        <v>67</v>
      </c>
      <c r="B18" t="s">
        <v>70</v>
      </c>
      <c r="C18">
        <v>6</v>
      </c>
      <c r="D18" t="s">
        <v>98</v>
      </c>
      <c r="E18" t="s">
        <v>97</v>
      </c>
      <c r="F18" t="s">
        <v>85</v>
      </c>
      <c r="G18">
        <v>103</v>
      </c>
      <c r="H18" t="str">
        <f>CountersTable[[#This Row],[ProjectName]]&amp;CountersTable[[#This Row],[Name]]&amp;CountersTable[[#This Row],[Type]]&amp;CountersTable[[#This Row],[Source]]</f>
        <v>Unnamed ProjectContadortipo2CountUser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100.8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8.8255116096696504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18" cm="1">
        <f t="array" ref="N18">MIN(IF((CountersTable[GroupByKey]=CountersTable[[#This Row],[GroupByKey]]),(CountersTable[GroupByKey]=CountersTable[[#This Row],[GroupByKey]])*CountersTable[RecordedValue]))</f>
        <v>78</v>
      </c>
      <c r="O18" cm="1">
        <f t="array" ref="O18">MAX(IF((CountersTable[GroupByKey]=CountersTable[[#This Row],[GroupByKey]]),(CountersTable[GroupByKey]=CountersTable[[#This Row],[GroupByKey]])*CountersTable[RecordedValue]))</f>
        <v>116</v>
      </c>
    </row>
    <row r="19" spans="1:15">
      <c r="A19" t="s">
        <v>67</v>
      </c>
      <c r="B19" t="s">
        <v>70</v>
      </c>
      <c r="C19">
        <v>6</v>
      </c>
      <c r="D19" t="s">
        <v>99</v>
      </c>
      <c r="E19" t="s">
        <v>97</v>
      </c>
      <c r="F19" t="s">
        <v>85</v>
      </c>
      <c r="G19">
        <v>353</v>
      </c>
      <c r="H19" t="str">
        <f>CountersTable[[#This Row],[ProjectName]]&amp;CountersTable[[#This Row],[Name]]&amp;CountersTable[[#This Row],[Type]]&amp;CountersTable[[#This Row],[Source]]</f>
        <v>Unnamed ProjectContadortipo3CountUser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369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16.552945357246848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19" cm="1">
        <f t="array" ref="N19">MIN(IF((CountersTable[GroupByKey]=CountersTable[[#This Row],[GroupByKey]]),(CountersTable[GroupByKey]=CountersTable[[#This Row],[GroupByKey]])*CountersTable[RecordedValue]))</f>
        <v>325</v>
      </c>
      <c r="O19" cm="1">
        <f t="array" ref="O19">MAX(IF((CountersTable[GroupByKey]=CountersTable[[#This Row],[GroupByKey]]),(CountersTable[GroupByKey]=CountersTable[[#This Row],[GroupByKey]])*CountersTable[RecordedValue]))</f>
        <v>392</v>
      </c>
    </row>
    <row r="20" spans="1:15">
      <c r="A20" t="s">
        <v>67</v>
      </c>
      <c r="B20" t="s">
        <v>70</v>
      </c>
      <c r="C20">
        <v>7</v>
      </c>
      <c r="D20" t="s">
        <v>96</v>
      </c>
      <c r="E20" t="s">
        <v>97</v>
      </c>
      <c r="F20" t="s">
        <v>85</v>
      </c>
      <c r="G20">
        <v>231</v>
      </c>
      <c r="H20" t="str">
        <f>CountersTable[[#This Row],[ProjectName]]&amp;CountersTable[[#This Row],[Name]]&amp;CountersTable[[#This Row],[Type]]&amp;CountersTable[[#This Row],[Source]]</f>
        <v>Unnamed ProjectContadortipo1CountUser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209.43333333333334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16.39319314865763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20" cm="1">
        <f t="array" ref="N20">MIN(IF((CountersTable[GroupByKey]=CountersTable[[#This Row],[GroupByKey]]),(CountersTable[GroupByKey]=CountersTable[[#This Row],[GroupByKey]])*CountersTable[RecordedValue]))</f>
        <v>185</v>
      </c>
      <c r="O20" cm="1">
        <f t="array" ref="O20">MAX(IF((CountersTable[GroupByKey]=CountersTable[[#This Row],[GroupByKey]]),(CountersTable[GroupByKey]=CountersTable[[#This Row],[GroupByKey]])*CountersTable[RecordedValue]))</f>
        <v>251</v>
      </c>
    </row>
    <row r="21" spans="1:15">
      <c r="A21" t="s">
        <v>67</v>
      </c>
      <c r="B21" t="s">
        <v>70</v>
      </c>
      <c r="C21">
        <v>7</v>
      </c>
      <c r="D21" t="s">
        <v>98</v>
      </c>
      <c r="E21" t="s">
        <v>97</v>
      </c>
      <c r="F21" t="s">
        <v>85</v>
      </c>
      <c r="G21">
        <v>103</v>
      </c>
      <c r="H21" t="str">
        <f>CountersTable[[#This Row],[ProjectName]]&amp;CountersTable[[#This Row],[Name]]&amp;CountersTable[[#This Row],[Type]]&amp;CountersTable[[#This Row],[Source]]</f>
        <v>Unnamed ProjectContadortipo2CountUser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100.8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8.8255116096696504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21" cm="1">
        <f t="array" ref="N21">MIN(IF((CountersTable[GroupByKey]=CountersTable[[#This Row],[GroupByKey]]),(CountersTable[GroupByKey]=CountersTable[[#This Row],[GroupByKey]])*CountersTable[RecordedValue]))</f>
        <v>78</v>
      </c>
      <c r="O21" cm="1">
        <f t="array" ref="O21">MAX(IF((CountersTable[GroupByKey]=CountersTable[[#This Row],[GroupByKey]]),(CountersTable[GroupByKey]=CountersTable[[#This Row],[GroupByKey]])*CountersTable[RecordedValue]))</f>
        <v>116</v>
      </c>
    </row>
    <row r="22" spans="1:15">
      <c r="A22" t="s">
        <v>67</v>
      </c>
      <c r="B22" t="s">
        <v>70</v>
      </c>
      <c r="C22">
        <v>7</v>
      </c>
      <c r="D22" t="s">
        <v>99</v>
      </c>
      <c r="E22" t="s">
        <v>97</v>
      </c>
      <c r="F22" t="s">
        <v>85</v>
      </c>
      <c r="G22">
        <v>373</v>
      </c>
      <c r="H22" t="str">
        <f>CountersTable[[#This Row],[ProjectName]]&amp;CountersTable[[#This Row],[Name]]&amp;CountersTable[[#This Row],[Type]]&amp;CountersTable[[#This Row],[Source]]</f>
        <v>Unnamed ProjectContadortipo3CountUser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369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16.552945357246848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22" cm="1">
        <f t="array" ref="N22">MIN(IF((CountersTable[GroupByKey]=CountersTable[[#This Row],[GroupByKey]]),(CountersTable[GroupByKey]=CountersTable[[#This Row],[GroupByKey]])*CountersTable[RecordedValue]))</f>
        <v>325</v>
      </c>
      <c r="O22" cm="1">
        <f t="array" ref="O22">MAX(IF((CountersTable[GroupByKey]=CountersTable[[#This Row],[GroupByKey]]),(CountersTable[GroupByKey]=CountersTable[[#This Row],[GroupByKey]])*CountersTable[RecordedValue]))</f>
        <v>392</v>
      </c>
    </row>
    <row r="23" spans="1:15">
      <c r="A23" t="s">
        <v>67</v>
      </c>
      <c r="B23" t="s">
        <v>70</v>
      </c>
      <c r="C23">
        <v>8</v>
      </c>
      <c r="D23" t="s">
        <v>96</v>
      </c>
      <c r="E23" t="s">
        <v>97</v>
      </c>
      <c r="F23" t="s">
        <v>85</v>
      </c>
      <c r="G23">
        <v>223</v>
      </c>
      <c r="H23" t="str">
        <f>CountersTable[[#This Row],[ProjectName]]&amp;CountersTable[[#This Row],[Name]]&amp;CountersTable[[#This Row],[Type]]&amp;CountersTable[[#This Row],[Source]]</f>
        <v>Unnamed ProjectContadortipo1CountUser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209.43333333333334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16.39319314865763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23" cm="1">
        <f t="array" ref="N23">MIN(IF((CountersTable[GroupByKey]=CountersTable[[#This Row],[GroupByKey]]),(CountersTable[GroupByKey]=CountersTable[[#This Row],[GroupByKey]])*CountersTable[RecordedValue]))</f>
        <v>185</v>
      </c>
      <c r="O23" cm="1">
        <f t="array" ref="O23">MAX(IF((CountersTable[GroupByKey]=CountersTable[[#This Row],[GroupByKey]]),(CountersTable[GroupByKey]=CountersTable[[#This Row],[GroupByKey]])*CountersTable[RecordedValue]))</f>
        <v>251</v>
      </c>
    </row>
    <row r="24" spans="1:15">
      <c r="A24" t="s">
        <v>67</v>
      </c>
      <c r="B24" t="s">
        <v>70</v>
      </c>
      <c r="C24">
        <v>8</v>
      </c>
      <c r="D24" t="s">
        <v>98</v>
      </c>
      <c r="E24" t="s">
        <v>97</v>
      </c>
      <c r="F24" t="s">
        <v>85</v>
      </c>
      <c r="G24">
        <v>94</v>
      </c>
      <c r="H24" t="str">
        <f>CountersTable[[#This Row],[ProjectName]]&amp;CountersTable[[#This Row],[Name]]&amp;CountersTable[[#This Row],[Type]]&amp;CountersTable[[#This Row],[Source]]</f>
        <v>Unnamed ProjectContadortipo2CountUser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100.8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8.8255116096696504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24" cm="1">
        <f t="array" ref="N24">MIN(IF((CountersTable[GroupByKey]=CountersTable[[#This Row],[GroupByKey]]),(CountersTable[GroupByKey]=CountersTable[[#This Row],[GroupByKey]])*CountersTable[RecordedValue]))</f>
        <v>78</v>
      </c>
      <c r="O24" cm="1">
        <f t="array" ref="O24">MAX(IF((CountersTable[GroupByKey]=CountersTable[[#This Row],[GroupByKey]]),(CountersTable[GroupByKey]=CountersTable[[#This Row],[GroupByKey]])*CountersTable[RecordedValue]))</f>
        <v>116</v>
      </c>
    </row>
    <row r="25" spans="1:15">
      <c r="A25" t="s">
        <v>67</v>
      </c>
      <c r="B25" t="s">
        <v>70</v>
      </c>
      <c r="C25">
        <v>8</v>
      </c>
      <c r="D25" t="s">
        <v>99</v>
      </c>
      <c r="E25" t="s">
        <v>97</v>
      </c>
      <c r="F25" t="s">
        <v>85</v>
      </c>
      <c r="G25">
        <v>345</v>
      </c>
      <c r="H25" t="str">
        <f>CountersTable[[#This Row],[ProjectName]]&amp;CountersTable[[#This Row],[Name]]&amp;CountersTable[[#This Row],[Type]]&amp;CountersTable[[#This Row],[Source]]</f>
        <v>Unnamed ProjectContadortipo3CountUser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369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16.552945357246848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25" cm="1">
        <f t="array" ref="N25">MIN(IF((CountersTable[GroupByKey]=CountersTable[[#This Row],[GroupByKey]]),(CountersTable[GroupByKey]=CountersTable[[#This Row],[GroupByKey]])*CountersTable[RecordedValue]))</f>
        <v>325</v>
      </c>
      <c r="O25" cm="1">
        <f t="array" ref="O25">MAX(IF((CountersTable[GroupByKey]=CountersTable[[#This Row],[GroupByKey]]),(CountersTable[GroupByKey]=CountersTable[[#This Row],[GroupByKey]])*CountersTable[RecordedValue]))</f>
        <v>392</v>
      </c>
    </row>
    <row r="26" spans="1:15">
      <c r="A26" t="s">
        <v>67</v>
      </c>
      <c r="B26" t="s">
        <v>70</v>
      </c>
      <c r="C26">
        <v>9</v>
      </c>
      <c r="D26" t="s">
        <v>96</v>
      </c>
      <c r="E26" t="s">
        <v>97</v>
      </c>
      <c r="F26" t="s">
        <v>85</v>
      </c>
      <c r="G26">
        <v>215</v>
      </c>
      <c r="H26" t="str">
        <f>CountersTable[[#This Row],[ProjectName]]&amp;CountersTable[[#This Row],[Name]]&amp;CountersTable[[#This Row],[Type]]&amp;CountersTable[[#This Row],[Source]]</f>
        <v>Unnamed ProjectContadortipo1CountUser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209.43333333333334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16.39319314865763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26" cm="1">
        <f t="array" ref="N26">MIN(IF((CountersTable[GroupByKey]=CountersTable[[#This Row],[GroupByKey]]),(CountersTable[GroupByKey]=CountersTable[[#This Row],[GroupByKey]])*CountersTable[RecordedValue]))</f>
        <v>185</v>
      </c>
      <c r="O26" cm="1">
        <f t="array" ref="O26">MAX(IF((CountersTable[GroupByKey]=CountersTable[[#This Row],[GroupByKey]]),(CountersTable[GroupByKey]=CountersTable[[#This Row],[GroupByKey]])*CountersTable[RecordedValue]))</f>
        <v>251</v>
      </c>
    </row>
    <row r="27" spans="1:15">
      <c r="A27" t="s">
        <v>67</v>
      </c>
      <c r="B27" t="s">
        <v>70</v>
      </c>
      <c r="C27">
        <v>9</v>
      </c>
      <c r="D27" t="s">
        <v>98</v>
      </c>
      <c r="E27" t="s">
        <v>97</v>
      </c>
      <c r="F27" t="s">
        <v>85</v>
      </c>
      <c r="G27">
        <v>78</v>
      </c>
      <c r="H27" t="str">
        <f>CountersTable[[#This Row],[ProjectName]]&amp;CountersTable[[#This Row],[Name]]&amp;CountersTable[[#This Row],[Type]]&amp;CountersTable[[#This Row],[Source]]</f>
        <v>Unnamed ProjectContadortipo2CountUser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100.8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8.8255116096696504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27" cm="1">
        <f t="array" ref="N27">MIN(IF((CountersTable[GroupByKey]=CountersTable[[#This Row],[GroupByKey]]),(CountersTable[GroupByKey]=CountersTable[[#This Row],[GroupByKey]])*CountersTable[RecordedValue]))</f>
        <v>78</v>
      </c>
      <c r="O27" cm="1">
        <f t="array" ref="O27">MAX(IF((CountersTable[GroupByKey]=CountersTable[[#This Row],[GroupByKey]]),(CountersTable[GroupByKey]=CountersTable[[#This Row],[GroupByKey]])*CountersTable[RecordedValue]))</f>
        <v>116</v>
      </c>
    </row>
    <row r="28" spans="1:15">
      <c r="A28" t="s">
        <v>67</v>
      </c>
      <c r="B28" t="s">
        <v>70</v>
      </c>
      <c r="C28">
        <v>9</v>
      </c>
      <c r="D28" t="s">
        <v>99</v>
      </c>
      <c r="E28" t="s">
        <v>97</v>
      </c>
      <c r="F28" t="s">
        <v>85</v>
      </c>
      <c r="G28">
        <v>356</v>
      </c>
      <c r="H28" t="str">
        <f>CountersTable[[#This Row],[ProjectName]]&amp;CountersTable[[#This Row],[Name]]&amp;CountersTable[[#This Row],[Type]]&amp;CountersTable[[#This Row],[Source]]</f>
        <v>Unnamed ProjectContadortipo3CountUser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369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16.552945357246848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28" cm="1">
        <f t="array" ref="N28">MIN(IF((CountersTable[GroupByKey]=CountersTable[[#This Row],[GroupByKey]]),(CountersTable[GroupByKey]=CountersTable[[#This Row],[GroupByKey]])*CountersTable[RecordedValue]))</f>
        <v>325</v>
      </c>
      <c r="O28" cm="1">
        <f t="array" ref="O28">MAX(IF((CountersTable[GroupByKey]=CountersTable[[#This Row],[GroupByKey]]),(CountersTable[GroupByKey]=CountersTable[[#This Row],[GroupByKey]])*CountersTable[RecordedValue]))</f>
        <v>392</v>
      </c>
    </row>
    <row r="29" spans="1:15">
      <c r="A29" t="s">
        <v>67</v>
      </c>
      <c r="B29" t="s">
        <v>70</v>
      </c>
      <c r="C29">
        <v>10</v>
      </c>
      <c r="D29" t="s">
        <v>96</v>
      </c>
      <c r="E29" t="s">
        <v>97</v>
      </c>
      <c r="F29" t="s">
        <v>85</v>
      </c>
      <c r="G29">
        <v>202</v>
      </c>
      <c r="H29" t="str">
        <f>CountersTable[[#This Row],[ProjectName]]&amp;CountersTable[[#This Row],[Name]]&amp;CountersTable[[#This Row],[Type]]&amp;CountersTable[[#This Row],[Source]]</f>
        <v>Unnamed ProjectContadortipo1CountUser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209.43333333333334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16.39319314865763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29" cm="1">
        <f t="array" ref="N29">MIN(IF((CountersTable[GroupByKey]=CountersTable[[#This Row],[GroupByKey]]),(CountersTable[GroupByKey]=CountersTable[[#This Row],[GroupByKey]])*CountersTable[RecordedValue]))</f>
        <v>185</v>
      </c>
      <c r="O29" cm="1">
        <f t="array" ref="O29">MAX(IF((CountersTable[GroupByKey]=CountersTable[[#This Row],[GroupByKey]]),(CountersTable[GroupByKey]=CountersTable[[#This Row],[GroupByKey]])*CountersTable[RecordedValue]))</f>
        <v>251</v>
      </c>
    </row>
    <row r="30" spans="1:15">
      <c r="A30" t="s">
        <v>67</v>
      </c>
      <c r="B30" t="s">
        <v>70</v>
      </c>
      <c r="C30">
        <v>10</v>
      </c>
      <c r="D30" t="s">
        <v>98</v>
      </c>
      <c r="E30" t="s">
        <v>97</v>
      </c>
      <c r="F30" t="s">
        <v>85</v>
      </c>
      <c r="G30">
        <v>107</v>
      </c>
      <c r="H30" t="str">
        <f>CountersTable[[#This Row],[ProjectName]]&amp;CountersTable[[#This Row],[Name]]&amp;CountersTable[[#This Row],[Type]]&amp;CountersTable[[#This Row],[Source]]</f>
        <v>Unnamed ProjectContadortipo2CountUser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100.8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8.8255116096696504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30" cm="1">
        <f t="array" ref="N30">MIN(IF((CountersTable[GroupByKey]=CountersTable[[#This Row],[GroupByKey]]),(CountersTable[GroupByKey]=CountersTable[[#This Row],[GroupByKey]])*CountersTable[RecordedValue]))</f>
        <v>78</v>
      </c>
      <c r="O30" cm="1">
        <f t="array" ref="O30">MAX(IF((CountersTable[GroupByKey]=CountersTable[[#This Row],[GroupByKey]]),(CountersTable[GroupByKey]=CountersTable[[#This Row],[GroupByKey]])*CountersTable[RecordedValue]))</f>
        <v>116</v>
      </c>
    </row>
    <row r="31" spans="1:15">
      <c r="A31" t="s">
        <v>67</v>
      </c>
      <c r="B31" t="s">
        <v>70</v>
      </c>
      <c r="C31">
        <v>10</v>
      </c>
      <c r="D31" t="s">
        <v>99</v>
      </c>
      <c r="E31" t="s">
        <v>97</v>
      </c>
      <c r="F31" t="s">
        <v>85</v>
      </c>
      <c r="G31">
        <v>361</v>
      </c>
      <c r="H31" t="str">
        <f>CountersTable[[#This Row],[ProjectName]]&amp;CountersTable[[#This Row],[Name]]&amp;CountersTable[[#This Row],[Type]]&amp;CountersTable[[#This Row],[Source]]</f>
        <v>Unnamed ProjectContadortipo3CountUser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369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16.552945357246848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31" cm="1">
        <f t="array" ref="N31">MIN(IF((CountersTable[GroupByKey]=CountersTable[[#This Row],[GroupByKey]]),(CountersTable[GroupByKey]=CountersTable[[#This Row],[GroupByKey]])*CountersTable[RecordedValue]))</f>
        <v>325</v>
      </c>
      <c r="O31" cm="1">
        <f t="array" ref="O31">MAX(IF((CountersTable[GroupByKey]=CountersTable[[#This Row],[GroupByKey]]),(CountersTable[GroupByKey]=CountersTable[[#This Row],[GroupByKey]])*CountersTable[RecordedValue]))</f>
        <v>392</v>
      </c>
    </row>
    <row r="32" spans="1:15">
      <c r="A32" t="s">
        <v>67</v>
      </c>
      <c r="B32" t="s">
        <v>70</v>
      </c>
      <c r="C32">
        <v>11</v>
      </c>
      <c r="D32" t="s">
        <v>96</v>
      </c>
      <c r="E32" t="s">
        <v>97</v>
      </c>
      <c r="F32" t="s">
        <v>85</v>
      </c>
      <c r="G32">
        <v>192</v>
      </c>
      <c r="H32" t="str">
        <f>CountersTable[[#This Row],[ProjectName]]&amp;CountersTable[[#This Row],[Name]]&amp;CountersTable[[#This Row],[Type]]&amp;CountersTable[[#This Row],[Source]]</f>
        <v>Unnamed ProjectContadortipo1CountUser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209.43333333333334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16.39319314865763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32" cm="1">
        <f t="array" ref="N32">MIN(IF((CountersTable[GroupByKey]=CountersTable[[#This Row],[GroupByKey]]),(CountersTable[GroupByKey]=CountersTable[[#This Row],[GroupByKey]])*CountersTable[RecordedValue]))</f>
        <v>185</v>
      </c>
      <c r="O32" cm="1">
        <f t="array" ref="O32">MAX(IF((CountersTable[GroupByKey]=CountersTable[[#This Row],[GroupByKey]]),(CountersTable[GroupByKey]=CountersTable[[#This Row],[GroupByKey]])*CountersTable[RecordedValue]))</f>
        <v>251</v>
      </c>
    </row>
    <row r="33" spans="1:15">
      <c r="A33" t="s">
        <v>67</v>
      </c>
      <c r="B33" t="s">
        <v>70</v>
      </c>
      <c r="C33">
        <v>11</v>
      </c>
      <c r="D33" t="s">
        <v>98</v>
      </c>
      <c r="E33" t="s">
        <v>97</v>
      </c>
      <c r="F33" t="s">
        <v>85</v>
      </c>
      <c r="G33">
        <v>105</v>
      </c>
      <c r="H33" t="str">
        <f>CountersTable[[#This Row],[ProjectName]]&amp;CountersTable[[#This Row],[Name]]&amp;CountersTable[[#This Row],[Type]]&amp;CountersTable[[#This Row],[Source]]</f>
        <v>Unnamed ProjectContadortipo2CountUser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100.8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8.8255116096696504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33" cm="1">
        <f t="array" ref="N33">MIN(IF((CountersTable[GroupByKey]=CountersTable[[#This Row],[GroupByKey]]),(CountersTable[GroupByKey]=CountersTable[[#This Row],[GroupByKey]])*CountersTable[RecordedValue]))</f>
        <v>78</v>
      </c>
      <c r="O33" cm="1">
        <f t="array" ref="O33">MAX(IF((CountersTable[GroupByKey]=CountersTable[[#This Row],[GroupByKey]]),(CountersTable[GroupByKey]=CountersTable[[#This Row],[GroupByKey]])*CountersTable[RecordedValue]))</f>
        <v>116</v>
      </c>
    </row>
    <row r="34" spans="1:15">
      <c r="A34" t="s">
        <v>67</v>
      </c>
      <c r="B34" t="s">
        <v>70</v>
      </c>
      <c r="C34">
        <v>11</v>
      </c>
      <c r="D34" t="s">
        <v>99</v>
      </c>
      <c r="E34" t="s">
        <v>97</v>
      </c>
      <c r="F34" t="s">
        <v>85</v>
      </c>
      <c r="G34">
        <v>371</v>
      </c>
      <c r="H34" t="str">
        <f>CountersTable[[#This Row],[ProjectName]]&amp;CountersTable[[#This Row],[Name]]&amp;CountersTable[[#This Row],[Type]]&amp;CountersTable[[#This Row],[Source]]</f>
        <v>Unnamed ProjectContadortipo3CountUser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369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16.552945357246848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34" cm="1">
        <f t="array" ref="N34">MIN(IF((CountersTable[GroupByKey]=CountersTable[[#This Row],[GroupByKey]]),(CountersTable[GroupByKey]=CountersTable[[#This Row],[GroupByKey]])*CountersTable[RecordedValue]))</f>
        <v>325</v>
      </c>
      <c r="O34" cm="1">
        <f t="array" ref="O34">MAX(IF((CountersTable[GroupByKey]=CountersTable[[#This Row],[GroupByKey]]),(CountersTable[GroupByKey]=CountersTable[[#This Row],[GroupByKey]])*CountersTable[RecordedValue]))</f>
        <v>392</v>
      </c>
    </row>
    <row r="35" spans="1:15">
      <c r="A35" t="s">
        <v>67</v>
      </c>
      <c r="B35" t="s">
        <v>70</v>
      </c>
      <c r="C35">
        <v>12</v>
      </c>
      <c r="D35" t="s">
        <v>96</v>
      </c>
      <c r="E35" t="s">
        <v>97</v>
      </c>
      <c r="F35" t="s">
        <v>85</v>
      </c>
      <c r="G35">
        <v>213</v>
      </c>
      <c r="H35" t="str">
        <f>CountersTable[[#This Row],[ProjectName]]&amp;CountersTable[[#This Row],[Name]]&amp;CountersTable[[#This Row],[Type]]&amp;CountersTable[[#This Row],[Source]]</f>
        <v>Unnamed ProjectContadortipo1CountUser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209.43333333333334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16.39319314865763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35" cm="1">
        <f t="array" ref="N35">MIN(IF((CountersTable[GroupByKey]=CountersTable[[#This Row],[GroupByKey]]),(CountersTable[GroupByKey]=CountersTable[[#This Row],[GroupByKey]])*CountersTable[RecordedValue]))</f>
        <v>185</v>
      </c>
      <c r="O35" cm="1">
        <f t="array" ref="O35">MAX(IF((CountersTable[GroupByKey]=CountersTable[[#This Row],[GroupByKey]]),(CountersTable[GroupByKey]=CountersTable[[#This Row],[GroupByKey]])*CountersTable[RecordedValue]))</f>
        <v>251</v>
      </c>
    </row>
    <row r="36" spans="1:15">
      <c r="A36" t="s">
        <v>67</v>
      </c>
      <c r="B36" t="s">
        <v>70</v>
      </c>
      <c r="C36">
        <v>12</v>
      </c>
      <c r="D36" t="s">
        <v>98</v>
      </c>
      <c r="E36" t="s">
        <v>97</v>
      </c>
      <c r="F36" t="s">
        <v>85</v>
      </c>
      <c r="G36">
        <v>110</v>
      </c>
      <c r="H36" t="str">
        <f>CountersTable[[#This Row],[ProjectName]]&amp;CountersTable[[#This Row],[Name]]&amp;CountersTable[[#This Row],[Type]]&amp;CountersTable[[#This Row],[Source]]</f>
        <v>Unnamed ProjectContadortipo2CountUser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100.8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8.8255116096696504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36" cm="1">
        <f t="array" ref="N36">MIN(IF((CountersTable[GroupByKey]=CountersTable[[#This Row],[GroupByKey]]),(CountersTable[GroupByKey]=CountersTable[[#This Row],[GroupByKey]])*CountersTable[RecordedValue]))</f>
        <v>78</v>
      </c>
      <c r="O36" cm="1">
        <f t="array" ref="O36">MAX(IF((CountersTable[GroupByKey]=CountersTable[[#This Row],[GroupByKey]]),(CountersTable[GroupByKey]=CountersTable[[#This Row],[GroupByKey]])*CountersTable[RecordedValue]))</f>
        <v>116</v>
      </c>
    </row>
    <row r="37" spans="1:15">
      <c r="A37" t="s">
        <v>67</v>
      </c>
      <c r="B37" t="s">
        <v>70</v>
      </c>
      <c r="C37">
        <v>12</v>
      </c>
      <c r="D37" t="s">
        <v>99</v>
      </c>
      <c r="E37" t="s">
        <v>97</v>
      </c>
      <c r="F37" t="s">
        <v>85</v>
      </c>
      <c r="G37">
        <v>372</v>
      </c>
      <c r="H37" t="str">
        <f>CountersTable[[#This Row],[ProjectName]]&amp;CountersTable[[#This Row],[Name]]&amp;CountersTable[[#This Row],[Type]]&amp;CountersTable[[#This Row],[Source]]</f>
        <v>Unnamed ProjectContadortipo3CountUser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369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16.552945357246848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37" cm="1">
        <f t="array" ref="N37">MIN(IF((CountersTable[GroupByKey]=CountersTable[[#This Row],[GroupByKey]]),(CountersTable[GroupByKey]=CountersTable[[#This Row],[GroupByKey]])*CountersTable[RecordedValue]))</f>
        <v>325</v>
      </c>
      <c r="O37" cm="1">
        <f t="array" ref="O37">MAX(IF((CountersTable[GroupByKey]=CountersTable[[#This Row],[GroupByKey]]),(CountersTable[GroupByKey]=CountersTable[[#This Row],[GroupByKey]])*CountersTable[RecordedValue]))</f>
        <v>392</v>
      </c>
    </row>
    <row r="38" spans="1:15">
      <c r="A38" t="s">
        <v>67</v>
      </c>
      <c r="B38" t="s">
        <v>70</v>
      </c>
      <c r="C38">
        <v>13</v>
      </c>
      <c r="D38" t="s">
        <v>96</v>
      </c>
      <c r="E38" t="s">
        <v>97</v>
      </c>
      <c r="F38" t="s">
        <v>85</v>
      </c>
      <c r="G38">
        <v>221</v>
      </c>
      <c r="H38" t="str">
        <f>CountersTable[[#This Row],[ProjectName]]&amp;CountersTable[[#This Row],[Name]]&amp;CountersTable[[#This Row],[Type]]&amp;CountersTable[[#This Row],[Source]]</f>
        <v>Unnamed ProjectContadortipo1CountUser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209.43333333333334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16.39319314865763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38" cm="1">
        <f t="array" ref="N38">MIN(IF((CountersTable[GroupByKey]=CountersTable[[#This Row],[GroupByKey]]),(CountersTable[GroupByKey]=CountersTable[[#This Row],[GroupByKey]])*CountersTable[RecordedValue]))</f>
        <v>185</v>
      </c>
      <c r="O38" cm="1">
        <f t="array" ref="O38">MAX(IF((CountersTable[GroupByKey]=CountersTable[[#This Row],[GroupByKey]]),(CountersTable[GroupByKey]=CountersTable[[#This Row],[GroupByKey]])*CountersTable[RecordedValue]))</f>
        <v>251</v>
      </c>
    </row>
    <row r="39" spans="1:15">
      <c r="A39" t="s">
        <v>67</v>
      </c>
      <c r="B39" t="s">
        <v>70</v>
      </c>
      <c r="C39">
        <v>13</v>
      </c>
      <c r="D39" t="s">
        <v>98</v>
      </c>
      <c r="E39" t="s">
        <v>97</v>
      </c>
      <c r="F39" t="s">
        <v>85</v>
      </c>
      <c r="G39">
        <v>88</v>
      </c>
      <c r="H39" t="str">
        <f>CountersTable[[#This Row],[ProjectName]]&amp;CountersTable[[#This Row],[Name]]&amp;CountersTable[[#This Row],[Type]]&amp;CountersTable[[#This Row],[Source]]</f>
        <v>Unnamed ProjectContadortipo2CountUser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100.8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8.8255116096696504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39" cm="1">
        <f t="array" ref="N39">MIN(IF((CountersTable[GroupByKey]=CountersTable[[#This Row],[GroupByKey]]),(CountersTable[GroupByKey]=CountersTable[[#This Row],[GroupByKey]])*CountersTable[RecordedValue]))</f>
        <v>78</v>
      </c>
      <c r="O39" cm="1">
        <f t="array" ref="O39">MAX(IF((CountersTable[GroupByKey]=CountersTable[[#This Row],[GroupByKey]]),(CountersTable[GroupByKey]=CountersTable[[#This Row],[GroupByKey]])*CountersTable[RecordedValue]))</f>
        <v>116</v>
      </c>
    </row>
    <row r="40" spans="1:15">
      <c r="A40" t="s">
        <v>67</v>
      </c>
      <c r="B40" t="s">
        <v>70</v>
      </c>
      <c r="C40">
        <v>13</v>
      </c>
      <c r="D40" t="s">
        <v>99</v>
      </c>
      <c r="E40" t="s">
        <v>97</v>
      </c>
      <c r="F40" t="s">
        <v>85</v>
      </c>
      <c r="G40">
        <v>337</v>
      </c>
      <c r="H40" t="str">
        <f>CountersTable[[#This Row],[ProjectName]]&amp;CountersTable[[#This Row],[Name]]&amp;CountersTable[[#This Row],[Type]]&amp;CountersTable[[#This Row],[Source]]</f>
        <v>Unnamed ProjectContadortipo3CountUser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369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16.552945357246848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40" cm="1">
        <f t="array" ref="N40">MIN(IF((CountersTable[GroupByKey]=CountersTable[[#This Row],[GroupByKey]]),(CountersTable[GroupByKey]=CountersTable[[#This Row],[GroupByKey]])*CountersTable[RecordedValue]))</f>
        <v>325</v>
      </c>
      <c r="O40" cm="1">
        <f t="array" ref="O40">MAX(IF((CountersTable[GroupByKey]=CountersTable[[#This Row],[GroupByKey]]),(CountersTable[GroupByKey]=CountersTable[[#This Row],[GroupByKey]])*CountersTable[RecordedValue]))</f>
        <v>392</v>
      </c>
    </row>
    <row r="41" spans="1:15">
      <c r="A41" t="s">
        <v>67</v>
      </c>
      <c r="B41" t="s">
        <v>70</v>
      </c>
      <c r="C41">
        <v>14</v>
      </c>
      <c r="D41" t="s">
        <v>96</v>
      </c>
      <c r="E41" t="s">
        <v>97</v>
      </c>
      <c r="F41" t="s">
        <v>85</v>
      </c>
      <c r="G41">
        <v>204</v>
      </c>
      <c r="H41" t="str">
        <f>CountersTable[[#This Row],[ProjectName]]&amp;CountersTable[[#This Row],[Name]]&amp;CountersTable[[#This Row],[Type]]&amp;CountersTable[[#This Row],[Source]]</f>
        <v>Unnamed ProjectContadortipo1CountUser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209.43333333333334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16.39319314865763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41" cm="1">
        <f t="array" ref="N41">MIN(IF((CountersTable[GroupByKey]=CountersTable[[#This Row],[GroupByKey]]),(CountersTable[GroupByKey]=CountersTable[[#This Row],[GroupByKey]])*CountersTable[RecordedValue]))</f>
        <v>185</v>
      </c>
      <c r="O41" cm="1">
        <f t="array" ref="O41">MAX(IF((CountersTable[GroupByKey]=CountersTable[[#This Row],[GroupByKey]]),(CountersTable[GroupByKey]=CountersTable[[#This Row],[GroupByKey]])*CountersTable[RecordedValue]))</f>
        <v>251</v>
      </c>
    </row>
    <row r="42" spans="1:15">
      <c r="A42" t="s">
        <v>67</v>
      </c>
      <c r="B42" t="s">
        <v>70</v>
      </c>
      <c r="C42">
        <v>14</v>
      </c>
      <c r="D42" t="s">
        <v>98</v>
      </c>
      <c r="E42" t="s">
        <v>97</v>
      </c>
      <c r="F42" t="s">
        <v>85</v>
      </c>
      <c r="G42">
        <v>109</v>
      </c>
      <c r="H42" t="str">
        <f>CountersTable[[#This Row],[ProjectName]]&amp;CountersTable[[#This Row],[Name]]&amp;CountersTable[[#This Row],[Type]]&amp;CountersTable[[#This Row],[Source]]</f>
        <v>Unnamed ProjectContadortipo2CountUser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100.8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8.8255116096696504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42" cm="1">
        <f t="array" ref="N42">MIN(IF((CountersTable[GroupByKey]=CountersTable[[#This Row],[GroupByKey]]),(CountersTable[GroupByKey]=CountersTable[[#This Row],[GroupByKey]])*CountersTable[RecordedValue]))</f>
        <v>78</v>
      </c>
      <c r="O42" cm="1">
        <f t="array" ref="O42">MAX(IF((CountersTable[GroupByKey]=CountersTable[[#This Row],[GroupByKey]]),(CountersTable[GroupByKey]=CountersTable[[#This Row],[GroupByKey]])*CountersTable[RecordedValue]))</f>
        <v>116</v>
      </c>
    </row>
    <row r="43" spans="1:15">
      <c r="A43" t="s">
        <v>67</v>
      </c>
      <c r="B43" t="s">
        <v>70</v>
      </c>
      <c r="C43">
        <v>14</v>
      </c>
      <c r="D43" t="s">
        <v>99</v>
      </c>
      <c r="E43" t="s">
        <v>97</v>
      </c>
      <c r="F43" t="s">
        <v>85</v>
      </c>
      <c r="G43">
        <v>377</v>
      </c>
      <c r="H43" t="str">
        <f>CountersTable[[#This Row],[ProjectName]]&amp;CountersTable[[#This Row],[Name]]&amp;CountersTable[[#This Row],[Type]]&amp;CountersTable[[#This Row],[Source]]</f>
        <v>Unnamed ProjectContadortipo3CountUser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369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16.552945357246848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43" cm="1">
        <f t="array" ref="N43">MIN(IF((CountersTable[GroupByKey]=CountersTable[[#This Row],[GroupByKey]]),(CountersTable[GroupByKey]=CountersTable[[#This Row],[GroupByKey]])*CountersTable[RecordedValue]))</f>
        <v>325</v>
      </c>
      <c r="O43" cm="1">
        <f t="array" ref="O43">MAX(IF((CountersTable[GroupByKey]=CountersTable[[#This Row],[GroupByKey]]),(CountersTable[GroupByKey]=CountersTable[[#This Row],[GroupByKey]])*CountersTable[RecordedValue]))</f>
        <v>392</v>
      </c>
    </row>
    <row r="44" spans="1:15">
      <c r="A44" t="s">
        <v>67</v>
      </c>
      <c r="B44" t="s">
        <v>70</v>
      </c>
      <c r="C44">
        <v>15</v>
      </c>
      <c r="D44" t="s">
        <v>96</v>
      </c>
      <c r="E44" t="s">
        <v>97</v>
      </c>
      <c r="F44" t="s">
        <v>85</v>
      </c>
      <c r="G44">
        <v>204</v>
      </c>
      <c r="H44" t="str">
        <f>CountersTable[[#This Row],[ProjectName]]&amp;CountersTable[[#This Row],[Name]]&amp;CountersTable[[#This Row],[Type]]&amp;CountersTable[[#This Row],[Source]]</f>
        <v>Unnamed ProjectContadortipo1CountUser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209.43333333333334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16.39319314865763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44" cm="1">
        <f t="array" ref="N44">MIN(IF((CountersTable[GroupByKey]=CountersTable[[#This Row],[GroupByKey]]),(CountersTable[GroupByKey]=CountersTable[[#This Row],[GroupByKey]])*CountersTable[RecordedValue]))</f>
        <v>185</v>
      </c>
      <c r="O44" cm="1">
        <f t="array" ref="O44">MAX(IF((CountersTable[GroupByKey]=CountersTable[[#This Row],[GroupByKey]]),(CountersTable[GroupByKey]=CountersTable[[#This Row],[GroupByKey]])*CountersTable[RecordedValue]))</f>
        <v>251</v>
      </c>
    </row>
    <row r="45" spans="1:15">
      <c r="A45" t="s">
        <v>67</v>
      </c>
      <c r="B45" t="s">
        <v>70</v>
      </c>
      <c r="C45">
        <v>15</v>
      </c>
      <c r="D45" t="s">
        <v>98</v>
      </c>
      <c r="E45" t="s">
        <v>97</v>
      </c>
      <c r="F45" t="s">
        <v>85</v>
      </c>
      <c r="G45">
        <v>107</v>
      </c>
      <c r="H45" t="str">
        <f>CountersTable[[#This Row],[ProjectName]]&amp;CountersTable[[#This Row],[Name]]&amp;CountersTable[[#This Row],[Type]]&amp;CountersTable[[#This Row],[Source]]</f>
        <v>Unnamed ProjectContadortipo2CountUser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100.8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8.8255116096696504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45" cm="1">
        <f t="array" ref="N45">MIN(IF((CountersTable[GroupByKey]=CountersTable[[#This Row],[GroupByKey]]),(CountersTable[GroupByKey]=CountersTable[[#This Row],[GroupByKey]])*CountersTable[RecordedValue]))</f>
        <v>78</v>
      </c>
      <c r="O45" cm="1">
        <f t="array" ref="O45">MAX(IF((CountersTable[GroupByKey]=CountersTable[[#This Row],[GroupByKey]]),(CountersTable[GroupByKey]=CountersTable[[#This Row],[GroupByKey]])*CountersTable[RecordedValue]))</f>
        <v>116</v>
      </c>
    </row>
    <row r="46" spans="1:15">
      <c r="A46" t="s">
        <v>67</v>
      </c>
      <c r="B46" t="s">
        <v>70</v>
      </c>
      <c r="C46">
        <v>15</v>
      </c>
      <c r="D46" t="s">
        <v>99</v>
      </c>
      <c r="E46" t="s">
        <v>97</v>
      </c>
      <c r="F46" t="s">
        <v>85</v>
      </c>
      <c r="G46">
        <v>388</v>
      </c>
      <c r="H46" t="str">
        <f>CountersTable[[#This Row],[ProjectName]]&amp;CountersTable[[#This Row],[Name]]&amp;CountersTable[[#This Row],[Type]]&amp;CountersTable[[#This Row],[Source]]</f>
        <v>Unnamed ProjectContadortipo3CountUser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369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16.552945357246848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46" cm="1">
        <f t="array" ref="N46">MIN(IF((CountersTable[GroupByKey]=CountersTable[[#This Row],[GroupByKey]]),(CountersTable[GroupByKey]=CountersTable[[#This Row],[GroupByKey]])*CountersTable[RecordedValue]))</f>
        <v>325</v>
      </c>
      <c r="O46" cm="1">
        <f t="array" ref="O46">MAX(IF((CountersTable[GroupByKey]=CountersTable[[#This Row],[GroupByKey]]),(CountersTable[GroupByKey]=CountersTable[[#This Row],[GroupByKey]])*CountersTable[RecordedValue]))</f>
        <v>392</v>
      </c>
    </row>
    <row r="47" spans="1:15">
      <c r="A47" t="s">
        <v>67</v>
      </c>
      <c r="B47" t="s">
        <v>70</v>
      </c>
      <c r="C47">
        <v>16</v>
      </c>
      <c r="D47" t="s">
        <v>96</v>
      </c>
      <c r="E47" t="s">
        <v>97</v>
      </c>
      <c r="F47" t="s">
        <v>85</v>
      </c>
      <c r="G47">
        <v>224</v>
      </c>
      <c r="H47" t="str">
        <f>CountersTable[[#This Row],[ProjectName]]&amp;CountersTable[[#This Row],[Name]]&amp;CountersTable[[#This Row],[Type]]&amp;CountersTable[[#This Row],[Source]]</f>
        <v>Unnamed ProjectContadortipo1CountUser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209.43333333333334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16.39319314865763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47" cm="1">
        <f t="array" ref="N47">MIN(IF((CountersTable[GroupByKey]=CountersTable[[#This Row],[GroupByKey]]),(CountersTable[GroupByKey]=CountersTable[[#This Row],[GroupByKey]])*CountersTable[RecordedValue]))</f>
        <v>185</v>
      </c>
      <c r="O47" cm="1">
        <f t="array" ref="O47">MAX(IF((CountersTable[GroupByKey]=CountersTable[[#This Row],[GroupByKey]]),(CountersTable[GroupByKey]=CountersTable[[#This Row],[GroupByKey]])*CountersTable[RecordedValue]))</f>
        <v>251</v>
      </c>
    </row>
    <row r="48" spans="1:15">
      <c r="A48" t="s">
        <v>67</v>
      </c>
      <c r="B48" t="s">
        <v>70</v>
      </c>
      <c r="C48">
        <v>16</v>
      </c>
      <c r="D48" t="s">
        <v>98</v>
      </c>
      <c r="E48" t="s">
        <v>97</v>
      </c>
      <c r="F48" t="s">
        <v>85</v>
      </c>
      <c r="G48">
        <v>105</v>
      </c>
      <c r="H48" t="str">
        <f>CountersTable[[#This Row],[ProjectName]]&amp;CountersTable[[#This Row],[Name]]&amp;CountersTable[[#This Row],[Type]]&amp;CountersTable[[#This Row],[Source]]</f>
        <v>Unnamed ProjectContadortipo2CountUser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100.8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8.8255116096696504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48" cm="1">
        <f t="array" ref="N48">MIN(IF((CountersTable[GroupByKey]=CountersTable[[#This Row],[GroupByKey]]),(CountersTable[GroupByKey]=CountersTable[[#This Row],[GroupByKey]])*CountersTable[RecordedValue]))</f>
        <v>78</v>
      </c>
      <c r="O48" cm="1">
        <f t="array" ref="O48">MAX(IF((CountersTable[GroupByKey]=CountersTable[[#This Row],[GroupByKey]]),(CountersTable[GroupByKey]=CountersTable[[#This Row],[GroupByKey]])*CountersTable[RecordedValue]))</f>
        <v>116</v>
      </c>
    </row>
    <row r="49" spans="1:15">
      <c r="A49" t="s">
        <v>67</v>
      </c>
      <c r="B49" t="s">
        <v>70</v>
      </c>
      <c r="C49">
        <v>16</v>
      </c>
      <c r="D49" t="s">
        <v>99</v>
      </c>
      <c r="E49" t="s">
        <v>97</v>
      </c>
      <c r="F49" t="s">
        <v>85</v>
      </c>
      <c r="G49">
        <v>376</v>
      </c>
      <c r="H49" t="str">
        <f>CountersTable[[#This Row],[ProjectName]]&amp;CountersTable[[#This Row],[Name]]&amp;CountersTable[[#This Row],[Type]]&amp;CountersTable[[#This Row],[Source]]</f>
        <v>Unnamed ProjectContadortipo3CountUser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369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16.552945357246848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49" cm="1">
        <f t="array" ref="N49">MIN(IF((CountersTable[GroupByKey]=CountersTable[[#This Row],[GroupByKey]]),(CountersTable[GroupByKey]=CountersTable[[#This Row],[GroupByKey]])*CountersTable[RecordedValue]))</f>
        <v>325</v>
      </c>
      <c r="O49" cm="1">
        <f t="array" ref="O49">MAX(IF((CountersTable[GroupByKey]=CountersTable[[#This Row],[GroupByKey]]),(CountersTable[GroupByKey]=CountersTable[[#This Row],[GroupByKey]])*CountersTable[RecordedValue]))</f>
        <v>392</v>
      </c>
    </row>
    <row r="50" spans="1:15">
      <c r="A50" t="s">
        <v>67</v>
      </c>
      <c r="B50" t="s">
        <v>70</v>
      </c>
      <c r="C50">
        <v>17</v>
      </c>
      <c r="D50" t="s">
        <v>96</v>
      </c>
      <c r="E50" t="s">
        <v>97</v>
      </c>
      <c r="F50" t="s">
        <v>85</v>
      </c>
      <c r="G50">
        <v>207</v>
      </c>
      <c r="H50" t="str">
        <f>CountersTable[[#This Row],[ProjectName]]&amp;CountersTable[[#This Row],[Name]]&amp;CountersTable[[#This Row],[Type]]&amp;CountersTable[[#This Row],[Source]]</f>
        <v>Unnamed ProjectContadortipo1CountUser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209.43333333333334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16.39319314865763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50" cm="1">
        <f t="array" ref="N50">MIN(IF((CountersTable[GroupByKey]=CountersTable[[#This Row],[GroupByKey]]),(CountersTable[GroupByKey]=CountersTable[[#This Row],[GroupByKey]])*CountersTable[RecordedValue]))</f>
        <v>185</v>
      </c>
      <c r="O50" cm="1">
        <f t="array" ref="O50">MAX(IF((CountersTable[GroupByKey]=CountersTable[[#This Row],[GroupByKey]]),(CountersTable[GroupByKey]=CountersTable[[#This Row],[GroupByKey]])*CountersTable[RecordedValue]))</f>
        <v>251</v>
      </c>
    </row>
    <row r="51" spans="1:15">
      <c r="A51" t="s">
        <v>67</v>
      </c>
      <c r="B51" t="s">
        <v>70</v>
      </c>
      <c r="C51">
        <v>17</v>
      </c>
      <c r="D51" t="s">
        <v>98</v>
      </c>
      <c r="E51" t="s">
        <v>97</v>
      </c>
      <c r="F51" t="s">
        <v>85</v>
      </c>
      <c r="G51">
        <v>94</v>
      </c>
      <c r="H51" t="str">
        <f>CountersTable[[#This Row],[ProjectName]]&amp;CountersTable[[#This Row],[Name]]&amp;CountersTable[[#This Row],[Type]]&amp;CountersTable[[#This Row],[Source]]</f>
        <v>Unnamed ProjectContadortipo2CountUser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100.8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8.8255116096696504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51" cm="1">
        <f t="array" ref="N51">MIN(IF((CountersTable[GroupByKey]=CountersTable[[#This Row],[GroupByKey]]),(CountersTable[GroupByKey]=CountersTable[[#This Row],[GroupByKey]])*CountersTable[RecordedValue]))</f>
        <v>78</v>
      </c>
      <c r="O51" cm="1">
        <f t="array" ref="O51">MAX(IF((CountersTable[GroupByKey]=CountersTable[[#This Row],[GroupByKey]]),(CountersTable[GroupByKey]=CountersTable[[#This Row],[GroupByKey]])*CountersTable[RecordedValue]))</f>
        <v>116</v>
      </c>
    </row>
    <row r="52" spans="1:15">
      <c r="A52" t="s">
        <v>67</v>
      </c>
      <c r="B52" t="s">
        <v>70</v>
      </c>
      <c r="C52">
        <v>17</v>
      </c>
      <c r="D52" t="s">
        <v>99</v>
      </c>
      <c r="E52" t="s">
        <v>97</v>
      </c>
      <c r="F52" t="s">
        <v>85</v>
      </c>
      <c r="G52">
        <v>375</v>
      </c>
      <c r="H52" t="str">
        <f>CountersTable[[#This Row],[ProjectName]]&amp;CountersTable[[#This Row],[Name]]&amp;CountersTable[[#This Row],[Type]]&amp;CountersTable[[#This Row],[Source]]</f>
        <v>Unnamed ProjectContadortipo3CountUser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369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16.552945357246848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52" cm="1">
        <f t="array" ref="N52">MIN(IF((CountersTable[GroupByKey]=CountersTable[[#This Row],[GroupByKey]]),(CountersTable[GroupByKey]=CountersTable[[#This Row],[GroupByKey]])*CountersTable[RecordedValue]))</f>
        <v>325</v>
      </c>
      <c r="O52" cm="1">
        <f t="array" ref="O52">MAX(IF((CountersTable[GroupByKey]=CountersTable[[#This Row],[GroupByKey]]),(CountersTable[GroupByKey]=CountersTable[[#This Row],[GroupByKey]])*CountersTable[RecordedValue]))</f>
        <v>392</v>
      </c>
    </row>
    <row r="53" spans="1:15">
      <c r="A53" t="s">
        <v>67</v>
      </c>
      <c r="B53" t="s">
        <v>70</v>
      </c>
      <c r="C53">
        <v>18</v>
      </c>
      <c r="D53" t="s">
        <v>96</v>
      </c>
      <c r="E53" t="s">
        <v>97</v>
      </c>
      <c r="F53" t="s">
        <v>85</v>
      </c>
      <c r="G53">
        <v>185</v>
      </c>
      <c r="H53" t="str">
        <f>CountersTable[[#This Row],[ProjectName]]&amp;CountersTable[[#This Row],[Name]]&amp;CountersTable[[#This Row],[Type]]&amp;CountersTable[[#This Row],[Source]]</f>
        <v>Unnamed ProjectContadortipo1CountUser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209.43333333333334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16.39319314865763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53" cm="1">
        <f t="array" ref="N53">MIN(IF((CountersTable[GroupByKey]=CountersTable[[#This Row],[GroupByKey]]),(CountersTable[GroupByKey]=CountersTable[[#This Row],[GroupByKey]])*CountersTable[RecordedValue]))</f>
        <v>185</v>
      </c>
      <c r="O53" cm="1">
        <f t="array" ref="O53">MAX(IF((CountersTable[GroupByKey]=CountersTable[[#This Row],[GroupByKey]]),(CountersTable[GroupByKey]=CountersTable[[#This Row],[GroupByKey]])*CountersTable[RecordedValue]))</f>
        <v>251</v>
      </c>
    </row>
    <row r="54" spans="1:15">
      <c r="A54" t="s">
        <v>67</v>
      </c>
      <c r="B54" t="s">
        <v>70</v>
      </c>
      <c r="C54">
        <v>18</v>
      </c>
      <c r="D54" t="s">
        <v>98</v>
      </c>
      <c r="E54" t="s">
        <v>97</v>
      </c>
      <c r="F54" t="s">
        <v>85</v>
      </c>
      <c r="G54">
        <v>97</v>
      </c>
      <c r="H54" t="str">
        <f>CountersTable[[#This Row],[ProjectName]]&amp;CountersTable[[#This Row],[Name]]&amp;CountersTable[[#This Row],[Type]]&amp;CountersTable[[#This Row],[Source]]</f>
        <v>Unnamed ProjectContadortipo2CountUser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100.8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8.8255116096696504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54" cm="1">
        <f t="array" ref="N54">MIN(IF((CountersTable[GroupByKey]=CountersTable[[#This Row],[GroupByKey]]),(CountersTable[GroupByKey]=CountersTable[[#This Row],[GroupByKey]])*CountersTable[RecordedValue]))</f>
        <v>78</v>
      </c>
      <c r="O54" cm="1">
        <f t="array" ref="O54">MAX(IF((CountersTable[GroupByKey]=CountersTable[[#This Row],[GroupByKey]]),(CountersTable[GroupByKey]=CountersTable[[#This Row],[GroupByKey]])*CountersTable[RecordedValue]))</f>
        <v>116</v>
      </c>
    </row>
    <row r="55" spans="1:15">
      <c r="A55" t="s">
        <v>67</v>
      </c>
      <c r="B55" t="s">
        <v>70</v>
      </c>
      <c r="C55">
        <v>18</v>
      </c>
      <c r="D55" t="s">
        <v>99</v>
      </c>
      <c r="E55" t="s">
        <v>97</v>
      </c>
      <c r="F55" t="s">
        <v>85</v>
      </c>
      <c r="G55">
        <v>364</v>
      </c>
      <c r="H55" t="str">
        <f>CountersTable[[#This Row],[ProjectName]]&amp;CountersTable[[#This Row],[Name]]&amp;CountersTable[[#This Row],[Type]]&amp;CountersTable[[#This Row],[Source]]</f>
        <v>Unnamed ProjectContadortipo3CountUser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369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16.552945357246848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55" cm="1">
        <f t="array" ref="N55">MIN(IF((CountersTable[GroupByKey]=CountersTable[[#This Row],[GroupByKey]]),(CountersTable[GroupByKey]=CountersTable[[#This Row],[GroupByKey]])*CountersTable[RecordedValue]))</f>
        <v>325</v>
      </c>
      <c r="O55" cm="1">
        <f t="array" ref="O55">MAX(IF((CountersTable[GroupByKey]=CountersTable[[#This Row],[GroupByKey]]),(CountersTable[GroupByKey]=CountersTable[[#This Row],[GroupByKey]])*CountersTable[RecordedValue]))</f>
        <v>392</v>
      </c>
    </row>
    <row r="56" spans="1:15">
      <c r="A56" t="s">
        <v>67</v>
      </c>
      <c r="B56" t="s">
        <v>70</v>
      </c>
      <c r="C56">
        <v>19</v>
      </c>
      <c r="D56" t="s">
        <v>96</v>
      </c>
      <c r="E56" t="s">
        <v>97</v>
      </c>
      <c r="F56" t="s">
        <v>85</v>
      </c>
      <c r="G56">
        <v>251</v>
      </c>
      <c r="H56" t="str">
        <f>CountersTable[[#This Row],[ProjectName]]&amp;CountersTable[[#This Row],[Name]]&amp;CountersTable[[#This Row],[Type]]&amp;CountersTable[[#This Row],[Source]]</f>
        <v>Unnamed ProjectContadortipo1CountUser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209.43333333333334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16.39319314865763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56" cm="1">
        <f t="array" ref="N56">MIN(IF((CountersTable[GroupByKey]=CountersTable[[#This Row],[GroupByKey]]),(CountersTable[GroupByKey]=CountersTable[[#This Row],[GroupByKey]])*CountersTable[RecordedValue]))</f>
        <v>185</v>
      </c>
      <c r="O56" cm="1">
        <f t="array" ref="O56">MAX(IF((CountersTable[GroupByKey]=CountersTable[[#This Row],[GroupByKey]]),(CountersTable[GroupByKey]=CountersTable[[#This Row],[GroupByKey]])*CountersTable[RecordedValue]))</f>
        <v>251</v>
      </c>
    </row>
    <row r="57" spans="1:15">
      <c r="A57" t="s">
        <v>67</v>
      </c>
      <c r="B57" t="s">
        <v>70</v>
      </c>
      <c r="C57">
        <v>19</v>
      </c>
      <c r="D57" t="s">
        <v>98</v>
      </c>
      <c r="E57" t="s">
        <v>97</v>
      </c>
      <c r="F57" t="s">
        <v>85</v>
      </c>
      <c r="G57">
        <v>85</v>
      </c>
      <c r="H57" t="str">
        <f>CountersTable[[#This Row],[ProjectName]]&amp;CountersTable[[#This Row],[Name]]&amp;CountersTable[[#This Row],[Type]]&amp;CountersTable[[#This Row],[Source]]</f>
        <v>Unnamed ProjectContadortipo2CountUser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100.8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8.8255116096696504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57" cm="1">
        <f t="array" ref="N57">MIN(IF((CountersTable[GroupByKey]=CountersTable[[#This Row],[GroupByKey]]),(CountersTable[GroupByKey]=CountersTable[[#This Row],[GroupByKey]])*CountersTable[RecordedValue]))</f>
        <v>78</v>
      </c>
      <c r="O57" cm="1">
        <f t="array" ref="O57">MAX(IF((CountersTable[GroupByKey]=CountersTable[[#This Row],[GroupByKey]]),(CountersTable[GroupByKey]=CountersTable[[#This Row],[GroupByKey]])*CountersTable[RecordedValue]))</f>
        <v>116</v>
      </c>
    </row>
    <row r="58" spans="1:15">
      <c r="A58" t="s">
        <v>67</v>
      </c>
      <c r="B58" t="s">
        <v>70</v>
      </c>
      <c r="C58">
        <v>19</v>
      </c>
      <c r="D58" t="s">
        <v>99</v>
      </c>
      <c r="E58" t="s">
        <v>97</v>
      </c>
      <c r="F58" t="s">
        <v>85</v>
      </c>
      <c r="G58">
        <v>354</v>
      </c>
      <c r="H58" t="str">
        <f>CountersTable[[#This Row],[ProjectName]]&amp;CountersTable[[#This Row],[Name]]&amp;CountersTable[[#This Row],[Type]]&amp;CountersTable[[#This Row],[Source]]</f>
        <v>Unnamed ProjectContadortipo3CountUser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369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16.552945357246848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58" cm="1">
        <f t="array" ref="N58">MIN(IF((CountersTable[GroupByKey]=CountersTable[[#This Row],[GroupByKey]]),(CountersTable[GroupByKey]=CountersTable[[#This Row],[GroupByKey]])*CountersTable[RecordedValue]))</f>
        <v>325</v>
      </c>
      <c r="O58" cm="1">
        <f t="array" ref="O58">MAX(IF((CountersTable[GroupByKey]=CountersTable[[#This Row],[GroupByKey]]),(CountersTable[GroupByKey]=CountersTable[[#This Row],[GroupByKey]])*CountersTable[RecordedValue]))</f>
        <v>392</v>
      </c>
    </row>
    <row r="59" spans="1:15">
      <c r="A59" t="s">
        <v>67</v>
      </c>
      <c r="B59" t="s">
        <v>70</v>
      </c>
      <c r="C59">
        <v>20</v>
      </c>
      <c r="D59" t="s">
        <v>96</v>
      </c>
      <c r="E59" t="s">
        <v>97</v>
      </c>
      <c r="F59" t="s">
        <v>85</v>
      </c>
      <c r="G59">
        <v>207</v>
      </c>
      <c r="H59" t="str">
        <f>CountersTable[[#This Row],[ProjectName]]&amp;CountersTable[[#This Row],[Name]]&amp;CountersTable[[#This Row],[Type]]&amp;CountersTable[[#This Row],[Source]]</f>
        <v>Unnamed ProjectContadortipo1CountUser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209.43333333333334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16.39319314865763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59" cm="1">
        <f t="array" ref="N59">MIN(IF((CountersTable[GroupByKey]=CountersTable[[#This Row],[GroupByKey]]),(CountersTable[GroupByKey]=CountersTable[[#This Row],[GroupByKey]])*CountersTable[RecordedValue]))</f>
        <v>185</v>
      </c>
      <c r="O59" cm="1">
        <f t="array" ref="O59">MAX(IF((CountersTable[GroupByKey]=CountersTable[[#This Row],[GroupByKey]]),(CountersTable[GroupByKey]=CountersTable[[#This Row],[GroupByKey]])*CountersTable[RecordedValue]))</f>
        <v>251</v>
      </c>
    </row>
    <row r="60" spans="1:15">
      <c r="A60" t="s">
        <v>67</v>
      </c>
      <c r="B60" t="s">
        <v>70</v>
      </c>
      <c r="C60">
        <v>20</v>
      </c>
      <c r="D60" t="s">
        <v>98</v>
      </c>
      <c r="E60" t="s">
        <v>97</v>
      </c>
      <c r="F60" t="s">
        <v>85</v>
      </c>
      <c r="G60">
        <v>91</v>
      </c>
      <c r="H60" t="str">
        <f>CountersTable[[#This Row],[ProjectName]]&amp;CountersTable[[#This Row],[Name]]&amp;CountersTable[[#This Row],[Type]]&amp;CountersTable[[#This Row],[Source]]</f>
        <v>Unnamed ProjectContadortipo2CountUser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100.8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8.8255116096696504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60" cm="1">
        <f t="array" ref="N60">MIN(IF((CountersTable[GroupByKey]=CountersTable[[#This Row],[GroupByKey]]),(CountersTable[GroupByKey]=CountersTable[[#This Row],[GroupByKey]])*CountersTable[RecordedValue]))</f>
        <v>78</v>
      </c>
      <c r="O60" cm="1">
        <f t="array" ref="O60">MAX(IF((CountersTable[GroupByKey]=CountersTable[[#This Row],[GroupByKey]]),(CountersTable[GroupByKey]=CountersTable[[#This Row],[GroupByKey]])*CountersTable[RecordedValue]))</f>
        <v>116</v>
      </c>
    </row>
    <row r="61" spans="1:15">
      <c r="A61" t="s">
        <v>67</v>
      </c>
      <c r="B61" t="s">
        <v>70</v>
      </c>
      <c r="C61">
        <v>20</v>
      </c>
      <c r="D61" t="s">
        <v>99</v>
      </c>
      <c r="E61" t="s">
        <v>97</v>
      </c>
      <c r="F61" t="s">
        <v>85</v>
      </c>
      <c r="G61">
        <v>341</v>
      </c>
      <c r="H61" t="str">
        <f>CountersTable[[#This Row],[ProjectName]]&amp;CountersTable[[#This Row],[Name]]&amp;CountersTable[[#This Row],[Type]]&amp;CountersTable[[#This Row],[Source]]</f>
        <v>Unnamed ProjectContadortipo3CountUser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369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16.552945357246848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61" cm="1">
        <f t="array" ref="N61">MIN(IF((CountersTable[GroupByKey]=CountersTable[[#This Row],[GroupByKey]]),(CountersTable[GroupByKey]=CountersTable[[#This Row],[GroupByKey]])*CountersTable[RecordedValue]))</f>
        <v>325</v>
      </c>
      <c r="O61" cm="1">
        <f t="array" ref="O61">MAX(IF((CountersTable[GroupByKey]=CountersTable[[#This Row],[GroupByKey]]),(CountersTable[GroupByKey]=CountersTable[[#This Row],[GroupByKey]])*CountersTable[RecordedValue]))</f>
        <v>392</v>
      </c>
    </row>
    <row r="62" spans="1:15">
      <c r="A62" t="s">
        <v>67</v>
      </c>
      <c r="B62" t="s">
        <v>70</v>
      </c>
      <c r="C62">
        <v>21</v>
      </c>
      <c r="D62" t="s">
        <v>96</v>
      </c>
      <c r="E62" t="s">
        <v>97</v>
      </c>
      <c r="F62" t="s">
        <v>85</v>
      </c>
      <c r="G62">
        <v>203</v>
      </c>
      <c r="H62" t="str">
        <f>CountersTable[[#This Row],[ProjectName]]&amp;CountersTable[[#This Row],[Name]]&amp;CountersTable[[#This Row],[Type]]&amp;CountersTable[[#This Row],[Source]]</f>
        <v>Unnamed ProjectContadortipo1CountUser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30</v>
      </c>
      <c r="J62" cm="1">
        <f t="array" ref="J62">IFERROR(AVERAGE(IF((CountersTable[GroupByKey]=CountersTable[[#This Row],[GroupByKey]]),(CountersTable[GroupByKey]=CountersTable[[#This Row],[GroupByKey]])*CountersTable[RecordedValue])),0)</f>
        <v>209.43333333333334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16.39319314865763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62" cm="1">
        <f t="array" ref="N62">MIN(IF((CountersTable[GroupByKey]=CountersTable[[#This Row],[GroupByKey]]),(CountersTable[GroupByKey]=CountersTable[[#This Row],[GroupByKey]])*CountersTable[RecordedValue]))</f>
        <v>185</v>
      </c>
      <c r="O62" cm="1">
        <f t="array" ref="O62">MAX(IF((CountersTable[GroupByKey]=CountersTable[[#This Row],[GroupByKey]]),(CountersTable[GroupByKey]=CountersTable[[#This Row],[GroupByKey]])*CountersTable[RecordedValue]))</f>
        <v>251</v>
      </c>
    </row>
    <row r="63" spans="1:15">
      <c r="A63" t="s">
        <v>67</v>
      </c>
      <c r="B63" t="s">
        <v>70</v>
      </c>
      <c r="C63">
        <v>21</v>
      </c>
      <c r="D63" t="s">
        <v>98</v>
      </c>
      <c r="E63" t="s">
        <v>97</v>
      </c>
      <c r="F63" t="s">
        <v>85</v>
      </c>
      <c r="G63">
        <v>104</v>
      </c>
      <c r="H63" t="str">
        <f>CountersTable[[#This Row],[ProjectName]]&amp;CountersTable[[#This Row],[Name]]&amp;CountersTable[[#This Row],[Type]]&amp;CountersTable[[#This Row],[Source]]</f>
        <v>Unnamed ProjectContadortipo2CountUser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30</v>
      </c>
      <c r="J63" cm="1">
        <f t="array" ref="J63">IFERROR(AVERAGE(IF((CountersTable[GroupByKey]=CountersTable[[#This Row],[GroupByKey]]),(CountersTable[GroupByKey]=CountersTable[[#This Row],[GroupByKey]])*CountersTable[RecordedValue])),0)</f>
        <v>100.8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8.8255116096696504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63" cm="1">
        <f t="array" ref="N63">MIN(IF((CountersTable[GroupByKey]=CountersTable[[#This Row],[GroupByKey]]),(CountersTable[GroupByKey]=CountersTable[[#This Row],[GroupByKey]])*CountersTable[RecordedValue]))</f>
        <v>78</v>
      </c>
      <c r="O63" cm="1">
        <f t="array" ref="O63">MAX(IF((CountersTable[GroupByKey]=CountersTable[[#This Row],[GroupByKey]]),(CountersTable[GroupByKey]=CountersTable[[#This Row],[GroupByKey]])*CountersTable[RecordedValue]))</f>
        <v>116</v>
      </c>
    </row>
    <row r="64" spans="1:15">
      <c r="A64" t="s">
        <v>67</v>
      </c>
      <c r="B64" t="s">
        <v>70</v>
      </c>
      <c r="C64">
        <v>21</v>
      </c>
      <c r="D64" t="s">
        <v>99</v>
      </c>
      <c r="E64" t="s">
        <v>97</v>
      </c>
      <c r="F64" t="s">
        <v>85</v>
      </c>
      <c r="G64">
        <v>371</v>
      </c>
      <c r="H64" t="str">
        <f>CountersTable[[#This Row],[ProjectName]]&amp;CountersTable[[#This Row],[Name]]&amp;CountersTable[[#This Row],[Type]]&amp;CountersTable[[#This Row],[Source]]</f>
        <v>Unnamed ProjectContadortipo3CountUser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30</v>
      </c>
      <c r="J64" cm="1">
        <f t="array" ref="J64">IFERROR(AVERAGE(IF((CountersTable[GroupByKey]=CountersTable[[#This Row],[GroupByKey]]),(CountersTable[GroupByKey]=CountersTable[[#This Row],[GroupByKey]])*CountersTable[RecordedValue])),0)</f>
        <v>369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16.552945357246848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64" cm="1">
        <f t="array" ref="N64">MIN(IF((CountersTable[GroupByKey]=CountersTable[[#This Row],[GroupByKey]]),(CountersTable[GroupByKey]=CountersTable[[#This Row],[GroupByKey]])*CountersTable[RecordedValue]))</f>
        <v>325</v>
      </c>
      <c r="O64" cm="1">
        <f t="array" ref="O64">MAX(IF((CountersTable[GroupByKey]=CountersTable[[#This Row],[GroupByKey]]),(CountersTable[GroupByKey]=CountersTable[[#This Row],[GroupByKey]])*CountersTable[RecordedValue]))</f>
        <v>392</v>
      </c>
    </row>
    <row r="65" spans="1:15">
      <c r="A65" t="s">
        <v>67</v>
      </c>
      <c r="B65" t="s">
        <v>70</v>
      </c>
      <c r="C65">
        <v>22</v>
      </c>
      <c r="D65" t="s">
        <v>96</v>
      </c>
      <c r="E65" t="s">
        <v>97</v>
      </c>
      <c r="F65" t="s">
        <v>85</v>
      </c>
      <c r="G65">
        <v>197</v>
      </c>
      <c r="H65" t="str">
        <f>CountersTable[[#This Row],[ProjectName]]&amp;CountersTable[[#This Row],[Name]]&amp;CountersTable[[#This Row],[Type]]&amp;CountersTable[[#This Row],[Source]]</f>
        <v>Unnamed ProjectContadortipo1CountUser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30</v>
      </c>
      <c r="J65" cm="1">
        <f t="array" ref="J65">IFERROR(AVERAGE(IF((CountersTable[GroupByKey]=CountersTable[[#This Row],[GroupByKey]]),(CountersTable[GroupByKey]=CountersTable[[#This Row],[GroupByKey]])*CountersTable[RecordedValue])),0)</f>
        <v>209.43333333333334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16.39319314865763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65" cm="1">
        <f t="array" ref="N65">MIN(IF((CountersTable[GroupByKey]=CountersTable[[#This Row],[GroupByKey]]),(CountersTable[GroupByKey]=CountersTable[[#This Row],[GroupByKey]])*CountersTable[RecordedValue]))</f>
        <v>185</v>
      </c>
      <c r="O65" cm="1">
        <f t="array" ref="O65">MAX(IF((CountersTable[GroupByKey]=CountersTable[[#This Row],[GroupByKey]]),(CountersTable[GroupByKey]=CountersTable[[#This Row],[GroupByKey]])*CountersTable[RecordedValue]))</f>
        <v>251</v>
      </c>
    </row>
    <row r="66" spans="1:15">
      <c r="A66" t="s">
        <v>67</v>
      </c>
      <c r="B66" t="s">
        <v>70</v>
      </c>
      <c r="C66">
        <v>22</v>
      </c>
      <c r="D66" t="s">
        <v>98</v>
      </c>
      <c r="E66" t="s">
        <v>97</v>
      </c>
      <c r="F66" t="s">
        <v>85</v>
      </c>
      <c r="G66">
        <v>97</v>
      </c>
      <c r="H66" t="str">
        <f>CountersTable[[#This Row],[ProjectName]]&amp;CountersTable[[#This Row],[Name]]&amp;CountersTable[[#This Row],[Type]]&amp;CountersTable[[#This Row],[Source]]</f>
        <v>Unnamed ProjectContadortipo2CountUser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30</v>
      </c>
      <c r="J66" cm="1">
        <f t="array" ref="J66">IFERROR(AVERAGE(IF((CountersTable[GroupByKey]=CountersTable[[#This Row],[GroupByKey]]),(CountersTable[GroupByKey]=CountersTable[[#This Row],[GroupByKey]])*CountersTable[RecordedValue])),0)</f>
        <v>100.8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8.8255116096696504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66" cm="1">
        <f t="array" ref="N66">MIN(IF((CountersTable[GroupByKey]=CountersTable[[#This Row],[GroupByKey]]),(CountersTable[GroupByKey]=CountersTable[[#This Row],[GroupByKey]])*CountersTable[RecordedValue]))</f>
        <v>78</v>
      </c>
      <c r="O66" cm="1">
        <f t="array" ref="O66">MAX(IF((CountersTable[GroupByKey]=CountersTable[[#This Row],[GroupByKey]]),(CountersTable[GroupByKey]=CountersTable[[#This Row],[GroupByKey]])*CountersTable[RecordedValue]))</f>
        <v>116</v>
      </c>
    </row>
    <row r="67" spans="1:15">
      <c r="A67" t="s">
        <v>67</v>
      </c>
      <c r="B67" t="s">
        <v>70</v>
      </c>
      <c r="C67">
        <v>22</v>
      </c>
      <c r="D67" t="s">
        <v>99</v>
      </c>
      <c r="E67" t="s">
        <v>97</v>
      </c>
      <c r="F67" t="s">
        <v>85</v>
      </c>
      <c r="G67">
        <v>369</v>
      </c>
      <c r="H67" t="str">
        <f>CountersTable[[#This Row],[ProjectName]]&amp;CountersTable[[#This Row],[Name]]&amp;CountersTable[[#This Row],[Type]]&amp;CountersTable[[#This Row],[Source]]</f>
        <v>Unnamed ProjectContadortipo3CountUser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30</v>
      </c>
      <c r="J67" cm="1">
        <f t="array" ref="J67">IFERROR(AVERAGE(IF((CountersTable[GroupByKey]=CountersTable[[#This Row],[GroupByKey]]),(CountersTable[GroupByKey]=CountersTable[[#This Row],[GroupByKey]])*CountersTable[RecordedValue])),0)</f>
        <v>369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16.552945357246848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67" cm="1">
        <f t="array" ref="N67">MIN(IF((CountersTable[GroupByKey]=CountersTable[[#This Row],[GroupByKey]]),(CountersTable[GroupByKey]=CountersTable[[#This Row],[GroupByKey]])*CountersTable[RecordedValue]))</f>
        <v>325</v>
      </c>
      <c r="O67" cm="1">
        <f t="array" ref="O67">MAX(IF((CountersTable[GroupByKey]=CountersTable[[#This Row],[GroupByKey]]),(CountersTable[GroupByKey]=CountersTable[[#This Row],[GroupByKey]])*CountersTable[RecordedValue]))</f>
        <v>392</v>
      </c>
    </row>
    <row r="68" spans="1:15">
      <c r="A68" t="s">
        <v>67</v>
      </c>
      <c r="B68" t="s">
        <v>70</v>
      </c>
      <c r="C68">
        <v>23</v>
      </c>
      <c r="D68" t="s">
        <v>96</v>
      </c>
      <c r="E68" t="s">
        <v>97</v>
      </c>
      <c r="F68" t="s">
        <v>85</v>
      </c>
      <c r="G68">
        <v>212</v>
      </c>
      <c r="H68" t="str">
        <f>CountersTable[[#This Row],[ProjectName]]&amp;CountersTable[[#This Row],[Name]]&amp;CountersTable[[#This Row],[Type]]&amp;CountersTable[[#This Row],[Source]]</f>
        <v>Unnamed ProjectContadortipo1CountUser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30</v>
      </c>
      <c r="J68" cm="1">
        <f t="array" ref="J68">IFERROR(AVERAGE(IF((CountersTable[GroupByKey]=CountersTable[[#This Row],[GroupByKey]]),(CountersTable[GroupByKey]=CountersTable[[#This Row],[GroupByKey]])*CountersTable[RecordedValue])),0)</f>
        <v>209.43333333333334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16.39319314865763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68" cm="1">
        <f t="array" ref="N68">MIN(IF((CountersTable[GroupByKey]=CountersTable[[#This Row],[GroupByKey]]),(CountersTable[GroupByKey]=CountersTable[[#This Row],[GroupByKey]])*CountersTable[RecordedValue]))</f>
        <v>185</v>
      </c>
      <c r="O68" cm="1">
        <f t="array" ref="O68">MAX(IF((CountersTable[GroupByKey]=CountersTable[[#This Row],[GroupByKey]]),(CountersTable[GroupByKey]=CountersTable[[#This Row],[GroupByKey]])*CountersTable[RecordedValue]))</f>
        <v>251</v>
      </c>
    </row>
    <row r="69" spans="1:15">
      <c r="A69" t="s">
        <v>67</v>
      </c>
      <c r="B69" t="s">
        <v>70</v>
      </c>
      <c r="C69">
        <v>23</v>
      </c>
      <c r="D69" t="s">
        <v>98</v>
      </c>
      <c r="E69" t="s">
        <v>97</v>
      </c>
      <c r="F69" t="s">
        <v>85</v>
      </c>
      <c r="G69">
        <v>116</v>
      </c>
      <c r="H69" t="str">
        <f>CountersTable[[#This Row],[ProjectName]]&amp;CountersTable[[#This Row],[Name]]&amp;CountersTable[[#This Row],[Type]]&amp;CountersTable[[#This Row],[Source]]</f>
        <v>Unnamed ProjectContadortipo2CountUser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30</v>
      </c>
      <c r="J69" cm="1">
        <f t="array" ref="J69">IFERROR(AVERAGE(IF((CountersTable[GroupByKey]=CountersTable[[#This Row],[GroupByKey]]),(CountersTable[GroupByKey]=CountersTable[[#This Row],[GroupByKey]])*CountersTable[RecordedValue])),0)</f>
        <v>100.8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8.8255116096696504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69" cm="1">
        <f t="array" ref="N69">MIN(IF((CountersTable[GroupByKey]=CountersTable[[#This Row],[GroupByKey]]),(CountersTable[GroupByKey]=CountersTable[[#This Row],[GroupByKey]])*CountersTable[RecordedValue]))</f>
        <v>78</v>
      </c>
      <c r="O69" cm="1">
        <f t="array" ref="O69">MAX(IF((CountersTable[GroupByKey]=CountersTable[[#This Row],[GroupByKey]]),(CountersTable[GroupByKey]=CountersTable[[#This Row],[GroupByKey]])*CountersTable[RecordedValue]))</f>
        <v>116</v>
      </c>
    </row>
    <row r="70" spans="1:15">
      <c r="A70" t="s">
        <v>67</v>
      </c>
      <c r="B70" t="s">
        <v>70</v>
      </c>
      <c r="C70">
        <v>23</v>
      </c>
      <c r="D70" t="s">
        <v>99</v>
      </c>
      <c r="E70" t="s">
        <v>97</v>
      </c>
      <c r="F70" t="s">
        <v>85</v>
      </c>
      <c r="G70">
        <v>389</v>
      </c>
      <c r="H70" t="str">
        <f>CountersTable[[#This Row],[ProjectName]]&amp;CountersTable[[#This Row],[Name]]&amp;CountersTable[[#This Row],[Type]]&amp;CountersTable[[#This Row],[Source]]</f>
        <v>Unnamed ProjectContadortipo3CountUser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30</v>
      </c>
      <c r="J70" cm="1">
        <f t="array" ref="J70">IFERROR(AVERAGE(IF((CountersTable[GroupByKey]=CountersTable[[#This Row],[GroupByKey]]),(CountersTable[GroupByKey]=CountersTable[[#This Row],[GroupByKey]])*CountersTable[RecordedValue])),0)</f>
        <v>369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16.552945357246848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70" cm="1">
        <f t="array" ref="N70">MIN(IF((CountersTable[GroupByKey]=CountersTable[[#This Row],[GroupByKey]]),(CountersTable[GroupByKey]=CountersTable[[#This Row],[GroupByKey]])*CountersTable[RecordedValue]))</f>
        <v>325</v>
      </c>
      <c r="O70" cm="1">
        <f t="array" ref="O70">MAX(IF((CountersTable[GroupByKey]=CountersTable[[#This Row],[GroupByKey]]),(CountersTable[GroupByKey]=CountersTable[[#This Row],[GroupByKey]])*CountersTable[RecordedValue]))</f>
        <v>392</v>
      </c>
    </row>
    <row r="71" spans="1:15">
      <c r="A71" t="s">
        <v>67</v>
      </c>
      <c r="B71" t="s">
        <v>70</v>
      </c>
      <c r="C71">
        <v>24</v>
      </c>
      <c r="D71" t="s">
        <v>96</v>
      </c>
      <c r="E71" t="s">
        <v>97</v>
      </c>
      <c r="F71" t="s">
        <v>85</v>
      </c>
      <c r="G71">
        <v>186</v>
      </c>
      <c r="H71" t="str">
        <f>CountersTable[[#This Row],[ProjectName]]&amp;CountersTable[[#This Row],[Name]]&amp;CountersTable[[#This Row],[Type]]&amp;CountersTable[[#This Row],[Source]]</f>
        <v>Unnamed ProjectContadortipo1CountUser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30</v>
      </c>
      <c r="J71" cm="1">
        <f t="array" ref="J71">IFERROR(AVERAGE(IF((CountersTable[GroupByKey]=CountersTable[[#This Row],[GroupByKey]]),(CountersTable[GroupByKey]=CountersTable[[#This Row],[GroupByKey]])*CountersTable[RecordedValue])),0)</f>
        <v>209.43333333333334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16.39319314865763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71" cm="1">
        <f t="array" ref="N71">MIN(IF((CountersTable[GroupByKey]=CountersTable[[#This Row],[GroupByKey]]),(CountersTable[GroupByKey]=CountersTable[[#This Row],[GroupByKey]])*CountersTable[RecordedValue]))</f>
        <v>185</v>
      </c>
      <c r="O71" cm="1">
        <f t="array" ref="O71">MAX(IF((CountersTable[GroupByKey]=CountersTable[[#This Row],[GroupByKey]]),(CountersTable[GroupByKey]=CountersTable[[#This Row],[GroupByKey]])*CountersTable[RecordedValue]))</f>
        <v>251</v>
      </c>
    </row>
    <row r="72" spans="1:15">
      <c r="A72" t="s">
        <v>67</v>
      </c>
      <c r="B72" t="s">
        <v>70</v>
      </c>
      <c r="C72">
        <v>24</v>
      </c>
      <c r="D72" t="s">
        <v>98</v>
      </c>
      <c r="E72" t="s">
        <v>97</v>
      </c>
      <c r="F72" t="s">
        <v>85</v>
      </c>
      <c r="G72">
        <v>96</v>
      </c>
      <c r="H72" t="str">
        <f>CountersTable[[#This Row],[ProjectName]]&amp;CountersTable[[#This Row],[Name]]&amp;CountersTable[[#This Row],[Type]]&amp;CountersTable[[#This Row],[Source]]</f>
        <v>Unnamed ProjectContadortipo2CountUser Specified</v>
      </c>
      <c r="I72" cm="1">
        <f t="array" ref="I72">MAX(IF((ProjectInfoTable[ProjectName]=CountersTable[[#This Row],[ProjectName]]),(ProjectInfoTable[ProjectName]=CountersTable[[#This Row],[ProjectName]])*ProjectInfoTable[NumberOfReplications]))</f>
        <v>30</v>
      </c>
      <c r="J72" cm="1">
        <f t="array" ref="J72">IFERROR(AVERAGE(IF((CountersTable[GroupByKey]=CountersTable[[#This Row],[GroupByKey]]),(CountersTable[GroupByKey]=CountersTable[[#This Row],[GroupByKey]])*CountersTable[RecordedValue])),0)</f>
        <v>100.8</v>
      </c>
      <c r="K72" cm="1">
        <f t="array" ref="K72">IFERROR(_xlfn.STDEV.S(IF((CountersTable[GroupByKey]=CountersTable[[#This Row],[GroupByKey]]),(CountersTable[GroupByKey]=CountersTable[[#This Row],[GroupByKey]])*CountersTable[RecordedValue])),0)</f>
        <v>8.8255116096696504</v>
      </c>
      <c r="L72" cm="1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72" cm="1">
        <f t="array" ref="N72">MIN(IF((CountersTable[GroupByKey]=CountersTable[[#This Row],[GroupByKey]]),(CountersTable[GroupByKey]=CountersTable[[#This Row],[GroupByKey]])*CountersTable[RecordedValue]))</f>
        <v>78</v>
      </c>
      <c r="O72" cm="1">
        <f t="array" ref="O72">MAX(IF((CountersTable[GroupByKey]=CountersTable[[#This Row],[GroupByKey]]),(CountersTable[GroupByKey]=CountersTable[[#This Row],[GroupByKey]])*CountersTable[RecordedValue]))</f>
        <v>116</v>
      </c>
    </row>
    <row r="73" spans="1:15">
      <c r="A73" t="s">
        <v>67</v>
      </c>
      <c r="B73" t="s">
        <v>70</v>
      </c>
      <c r="C73">
        <v>24</v>
      </c>
      <c r="D73" t="s">
        <v>99</v>
      </c>
      <c r="E73" t="s">
        <v>97</v>
      </c>
      <c r="F73" t="s">
        <v>85</v>
      </c>
      <c r="G73">
        <v>378</v>
      </c>
      <c r="H73" t="str">
        <f>CountersTable[[#This Row],[ProjectName]]&amp;CountersTable[[#This Row],[Name]]&amp;CountersTable[[#This Row],[Type]]&amp;CountersTable[[#This Row],[Source]]</f>
        <v>Unnamed ProjectContadortipo3CountUser Specified</v>
      </c>
      <c r="I73" cm="1">
        <f t="array" ref="I73">MAX(IF((ProjectInfoTable[ProjectName]=CountersTable[[#This Row],[ProjectName]]),(ProjectInfoTable[ProjectName]=CountersTable[[#This Row],[ProjectName]])*ProjectInfoTable[NumberOfReplications]))</f>
        <v>30</v>
      </c>
      <c r="J73" cm="1">
        <f t="array" ref="J73">IFERROR(AVERAGE(IF((CountersTable[GroupByKey]=CountersTable[[#This Row],[GroupByKey]]),(CountersTable[GroupByKey]=CountersTable[[#This Row],[GroupByKey]])*CountersTable[RecordedValue])),0)</f>
        <v>369</v>
      </c>
      <c r="K73" cm="1">
        <f t="array" ref="K73">IFERROR(_xlfn.STDEV.S(IF((CountersTable[GroupByKey]=CountersTable[[#This Row],[GroupByKey]]),(CountersTable[GroupByKey]=CountersTable[[#This Row],[GroupByKey]])*CountersTable[RecordedValue])),0)</f>
        <v>16.552945357246848</v>
      </c>
      <c r="L73" cm="1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73" cm="1">
        <f t="array" ref="N73">MIN(IF((CountersTable[GroupByKey]=CountersTable[[#This Row],[GroupByKey]]),(CountersTable[GroupByKey]=CountersTable[[#This Row],[GroupByKey]])*CountersTable[RecordedValue]))</f>
        <v>325</v>
      </c>
      <c r="O73" cm="1">
        <f t="array" ref="O73">MAX(IF((CountersTable[GroupByKey]=CountersTable[[#This Row],[GroupByKey]]),(CountersTable[GroupByKey]=CountersTable[[#This Row],[GroupByKey]])*CountersTable[RecordedValue]))</f>
        <v>392</v>
      </c>
    </row>
    <row r="74" spans="1:15">
      <c r="A74" t="s">
        <v>67</v>
      </c>
      <c r="B74" t="s">
        <v>70</v>
      </c>
      <c r="C74">
        <v>25</v>
      </c>
      <c r="D74" t="s">
        <v>96</v>
      </c>
      <c r="E74" t="s">
        <v>97</v>
      </c>
      <c r="F74" t="s">
        <v>85</v>
      </c>
      <c r="G74">
        <v>196</v>
      </c>
      <c r="H74" t="str">
        <f>CountersTable[[#This Row],[ProjectName]]&amp;CountersTable[[#This Row],[Name]]&amp;CountersTable[[#This Row],[Type]]&amp;CountersTable[[#This Row],[Source]]</f>
        <v>Unnamed ProjectContadortipo1CountUser Specified</v>
      </c>
      <c r="I74" cm="1">
        <f t="array" ref="I74">MAX(IF((ProjectInfoTable[ProjectName]=CountersTable[[#This Row],[ProjectName]]),(ProjectInfoTable[ProjectName]=CountersTable[[#This Row],[ProjectName]])*ProjectInfoTable[NumberOfReplications]))</f>
        <v>30</v>
      </c>
      <c r="J74" cm="1">
        <f t="array" ref="J74">IFERROR(AVERAGE(IF((CountersTable[GroupByKey]=CountersTable[[#This Row],[GroupByKey]]),(CountersTable[GroupByKey]=CountersTable[[#This Row],[GroupByKey]])*CountersTable[RecordedValue])),0)</f>
        <v>209.43333333333334</v>
      </c>
      <c r="K74" cm="1">
        <f t="array" ref="K74">IFERROR(_xlfn.STDEV.S(IF((CountersTable[GroupByKey]=CountersTable[[#This Row],[GroupByKey]]),(CountersTable[GroupByKey]=CountersTable[[#This Row],[GroupByKey]])*CountersTable[RecordedValue])),0)</f>
        <v>16.39319314865763</v>
      </c>
      <c r="L74" cm="1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74" cm="1">
        <f t="array" ref="N74">MIN(IF((CountersTable[GroupByKey]=CountersTable[[#This Row],[GroupByKey]]),(CountersTable[GroupByKey]=CountersTable[[#This Row],[GroupByKey]])*CountersTable[RecordedValue]))</f>
        <v>185</v>
      </c>
      <c r="O74" cm="1">
        <f t="array" ref="O74">MAX(IF((CountersTable[GroupByKey]=CountersTable[[#This Row],[GroupByKey]]),(CountersTable[GroupByKey]=CountersTable[[#This Row],[GroupByKey]])*CountersTable[RecordedValue]))</f>
        <v>251</v>
      </c>
    </row>
    <row r="75" spans="1:15">
      <c r="A75" t="s">
        <v>67</v>
      </c>
      <c r="B75" t="s">
        <v>70</v>
      </c>
      <c r="C75">
        <v>25</v>
      </c>
      <c r="D75" t="s">
        <v>98</v>
      </c>
      <c r="E75" t="s">
        <v>97</v>
      </c>
      <c r="F75" t="s">
        <v>85</v>
      </c>
      <c r="G75">
        <v>111</v>
      </c>
      <c r="H75" t="str">
        <f>CountersTable[[#This Row],[ProjectName]]&amp;CountersTable[[#This Row],[Name]]&amp;CountersTable[[#This Row],[Type]]&amp;CountersTable[[#This Row],[Source]]</f>
        <v>Unnamed ProjectContadortipo2CountUser Specified</v>
      </c>
      <c r="I75" cm="1">
        <f t="array" ref="I75">MAX(IF((ProjectInfoTable[ProjectName]=CountersTable[[#This Row],[ProjectName]]),(ProjectInfoTable[ProjectName]=CountersTable[[#This Row],[ProjectName]])*ProjectInfoTable[NumberOfReplications]))</f>
        <v>30</v>
      </c>
      <c r="J75" cm="1">
        <f t="array" ref="J75">IFERROR(AVERAGE(IF((CountersTable[GroupByKey]=CountersTable[[#This Row],[GroupByKey]]),(CountersTable[GroupByKey]=CountersTable[[#This Row],[GroupByKey]])*CountersTable[RecordedValue])),0)</f>
        <v>100.8</v>
      </c>
      <c r="K75" cm="1">
        <f t="array" ref="K75">IFERROR(_xlfn.STDEV.S(IF((CountersTable[GroupByKey]=CountersTable[[#This Row],[GroupByKey]]),(CountersTable[GroupByKey]=CountersTable[[#This Row],[GroupByKey]])*CountersTable[RecordedValue])),0)</f>
        <v>8.8255116096696504</v>
      </c>
      <c r="L75" cm="1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75" cm="1">
        <f t="array" ref="N75">MIN(IF((CountersTable[GroupByKey]=CountersTable[[#This Row],[GroupByKey]]),(CountersTable[GroupByKey]=CountersTable[[#This Row],[GroupByKey]])*CountersTable[RecordedValue]))</f>
        <v>78</v>
      </c>
      <c r="O75" cm="1">
        <f t="array" ref="O75">MAX(IF((CountersTable[GroupByKey]=CountersTable[[#This Row],[GroupByKey]]),(CountersTable[GroupByKey]=CountersTable[[#This Row],[GroupByKey]])*CountersTable[RecordedValue]))</f>
        <v>116</v>
      </c>
    </row>
    <row r="76" spans="1:15">
      <c r="A76" t="s">
        <v>67</v>
      </c>
      <c r="B76" t="s">
        <v>70</v>
      </c>
      <c r="C76">
        <v>25</v>
      </c>
      <c r="D76" t="s">
        <v>99</v>
      </c>
      <c r="E76" t="s">
        <v>97</v>
      </c>
      <c r="F76" t="s">
        <v>85</v>
      </c>
      <c r="G76">
        <v>392</v>
      </c>
      <c r="H76" t="str">
        <f>CountersTable[[#This Row],[ProjectName]]&amp;CountersTable[[#This Row],[Name]]&amp;CountersTable[[#This Row],[Type]]&amp;CountersTable[[#This Row],[Source]]</f>
        <v>Unnamed ProjectContadortipo3CountUser Specified</v>
      </c>
      <c r="I76" cm="1">
        <f t="array" ref="I76">MAX(IF((ProjectInfoTable[ProjectName]=CountersTable[[#This Row],[ProjectName]]),(ProjectInfoTable[ProjectName]=CountersTable[[#This Row],[ProjectName]])*ProjectInfoTable[NumberOfReplications]))</f>
        <v>30</v>
      </c>
      <c r="J76" cm="1">
        <f t="array" ref="J76">IFERROR(AVERAGE(IF((CountersTable[GroupByKey]=CountersTable[[#This Row],[GroupByKey]]),(CountersTable[GroupByKey]=CountersTable[[#This Row],[GroupByKey]])*CountersTable[RecordedValue])),0)</f>
        <v>369</v>
      </c>
      <c r="K76" cm="1">
        <f t="array" ref="K76">IFERROR(_xlfn.STDEV.S(IF((CountersTable[GroupByKey]=CountersTable[[#This Row],[GroupByKey]]),(CountersTable[GroupByKey]=CountersTable[[#This Row],[GroupByKey]])*CountersTable[RecordedValue])),0)</f>
        <v>16.552945357246848</v>
      </c>
      <c r="L76" cm="1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76" cm="1">
        <f t="array" ref="N76">MIN(IF((CountersTable[GroupByKey]=CountersTable[[#This Row],[GroupByKey]]),(CountersTable[GroupByKey]=CountersTable[[#This Row],[GroupByKey]])*CountersTable[RecordedValue]))</f>
        <v>325</v>
      </c>
      <c r="O76" cm="1">
        <f t="array" ref="O76">MAX(IF((CountersTable[GroupByKey]=CountersTable[[#This Row],[GroupByKey]]),(CountersTable[GroupByKey]=CountersTable[[#This Row],[GroupByKey]])*CountersTable[RecordedValue]))</f>
        <v>392</v>
      </c>
    </row>
    <row r="77" spans="1:15">
      <c r="A77" t="s">
        <v>67</v>
      </c>
      <c r="B77" t="s">
        <v>70</v>
      </c>
      <c r="C77">
        <v>26</v>
      </c>
      <c r="D77" t="s">
        <v>96</v>
      </c>
      <c r="E77" t="s">
        <v>97</v>
      </c>
      <c r="F77" t="s">
        <v>85</v>
      </c>
      <c r="G77">
        <v>228</v>
      </c>
      <c r="H77" t="str">
        <f>CountersTable[[#This Row],[ProjectName]]&amp;CountersTable[[#This Row],[Name]]&amp;CountersTable[[#This Row],[Type]]&amp;CountersTable[[#This Row],[Source]]</f>
        <v>Unnamed ProjectContadortipo1CountUser Specified</v>
      </c>
      <c r="I77" cm="1">
        <f t="array" ref="I77">MAX(IF((ProjectInfoTable[ProjectName]=CountersTable[[#This Row],[ProjectName]]),(ProjectInfoTable[ProjectName]=CountersTable[[#This Row],[ProjectName]])*ProjectInfoTable[NumberOfReplications]))</f>
        <v>30</v>
      </c>
      <c r="J77" cm="1">
        <f t="array" ref="J77">IFERROR(AVERAGE(IF((CountersTable[GroupByKey]=CountersTable[[#This Row],[GroupByKey]]),(CountersTable[GroupByKey]=CountersTable[[#This Row],[GroupByKey]])*CountersTable[RecordedValue])),0)</f>
        <v>209.43333333333334</v>
      </c>
      <c r="K77" cm="1">
        <f t="array" ref="K77">IFERROR(_xlfn.STDEV.S(IF((CountersTable[GroupByKey]=CountersTable[[#This Row],[GroupByKey]]),(CountersTable[GroupByKey]=CountersTable[[#This Row],[GroupByKey]])*CountersTable[RecordedValue])),0)</f>
        <v>16.39319314865763</v>
      </c>
      <c r="L77" cm="1">
        <f t="array" ref="L77">MAX(IF((ProjectInfoTable[ProjectName]=CountersTable[[#This Row],[ProjectName]]),(ProjectInfoTable[ProjectName]=CountersTable[[#This Row],[ProjectName]])*ProjectInfoTable[ConfidenceInterval]))</f>
        <v>0.95</v>
      </c>
      <c r="M77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77" cm="1">
        <f t="array" ref="N77">MIN(IF((CountersTable[GroupByKey]=CountersTable[[#This Row],[GroupByKey]]),(CountersTable[GroupByKey]=CountersTable[[#This Row],[GroupByKey]])*CountersTable[RecordedValue]))</f>
        <v>185</v>
      </c>
      <c r="O77" cm="1">
        <f t="array" ref="O77">MAX(IF((CountersTable[GroupByKey]=CountersTable[[#This Row],[GroupByKey]]),(CountersTable[GroupByKey]=CountersTable[[#This Row],[GroupByKey]])*CountersTable[RecordedValue]))</f>
        <v>251</v>
      </c>
    </row>
    <row r="78" spans="1:15">
      <c r="A78" t="s">
        <v>67</v>
      </c>
      <c r="B78" t="s">
        <v>70</v>
      </c>
      <c r="C78">
        <v>26</v>
      </c>
      <c r="D78" t="s">
        <v>98</v>
      </c>
      <c r="E78" t="s">
        <v>97</v>
      </c>
      <c r="F78" t="s">
        <v>85</v>
      </c>
      <c r="G78">
        <v>101</v>
      </c>
      <c r="H78" t="str">
        <f>CountersTable[[#This Row],[ProjectName]]&amp;CountersTable[[#This Row],[Name]]&amp;CountersTable[[#This Row],[Type]]&amp;CountersTable[[#This Row],[Source]]</f>
        <v>Unnamed ProjectContadortipo2CountUser Specified</v>
      </c>
      <c r="I78" cm="1">
        <f t="array" ref="I78">MAX(IF((ProjectInfoTable[ProjectName]=CountersTable[[#This Row],[ProjectName]]),(ProjectInfoTable[ProjectName]=CountersTable[[#This Row],[ProjectName]])*ProjectInfoTable[NumberOfReplications]))</f>
        <v>30</v>
      </c>
      <c r="J78" cm="1">
        <f t="array" ref="J78">IFERROR(AVERAGE(IF((CountersTable[GroupByKey]=CountersTable[[#This Row],[GroupByKey]]),(CountersTable[GroupByKey]=CountersTable[[#This Row],[GroupByKey]])*CountersTable[RecordedValue])),0)</f>
        <v>100.8</v>
      </c>
      <c r="K78" cm="1">
        <f t="array" ref="K78">IFERROR(_xlfn.STDEV.S(IF((CountersTable[GroupByKey]=CountersTable[[#This Row],[GroupByKey]]),(CountersTable[GroupByKey]=CountersTable[[#This Row],[GroupByKey]])*CountersTable[RecordedValue])),0)</f>
        <v>8.8255116096696504</v>
      </c>
      <c r="L78" cm="1">
        <f t="array" ref="L78">MAX(IF((ProjectInfoTable[ProjectName]=CountersTable[[#This Row],[ProjectName]]),(ProjectInfoTable[ProjectName]=CountersTable[[#This Row],[ProjectName]])*ProjectInfoTable[ConfidenceInterval]))</f>
        <v>0.95</v>
      </c>
      <c r="M78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78" cm="1">
        <f t="array" ref="N78">MIN(IF((CountersTable[GroupByKey]=CountersTable[[#This Row],[GroupByKey]]),(CountersTable[GroupByKey]=CountersTable[[#This Row],[GroupByKey]])*CountersTable[RecordedValue]))</f>
        <v>78</v>
      </c>
      <c r="O78" cm="1">
        <f t="array" ref="O78">MAX(IF((CountersTable[GroupByKey]=CountersTable[[#This Row],[GroupByKey]]),(CountersTable[GroupByKey]=CountersTable[[#This Row],[GroupByKey]])*CountersTable[RecordedValue]))</f>
        <v>116</v>
      </c>
    </row>
    <row r="79" spans="1:15">
      <c r="A79" t="s">
        <v>67</v>
      </c>
      <c r="B79" t="s">
        <v>70</v>
      </c>
      <c r="C79">
        <v>26</v>
      </c>
      <c r="D79" t="s">
        <v>99</v>
      </c>
      <c r="E79" t="s">
        <v>97</v>
      </c>
      <c r="F79" t="s">
        <v>85</v>
      </c>
      <c r="G79">
        <v>374</v>
      </c>
      <c r="H79" t="str">
        <f>CountersTable[[#This Row],[ProjectName]]&amp;CountersTable[[#This Row],[Name]]&amp;CountersTable[[#This Row],[Type]]&amp;CountersTable[[#This Row],[Source]]</f>
        <v>Unnamed ProjectContadortipo3CountUser Specified</v>
      </c>
      <c r="I79" cm="1">
        <f t="array" ref="I79">MAX(IF((ProjectInfoTable[ProjectName]=CountersTable[[#This Row],[ProjectName]]),(ProjectInfoTable[ProjectName]=CountersTable[[#This Row],[ProjectName]])*ProjectInfoTable[NumberOfReplications]))</f>
        <v>30</v>
      </c>
      <c r="J79" cm="1">
        <f t="array" ref="J79">IFERROR(AVERAGE(IF((CountersTable[GroupByKey]=CountersTable[[#This Row],[GroupByKey]]),(CountersTable[GroupByKey]=CountersTable[[#This Row],[GroupByKey]])*CountersTable[RecordedValue])),0)</f>
        <v>369</v>
      </c>
      <c r="K79" cm="1">
        <f t="array" ref="K79">IFERROR(_xlfn.STDEV.S(IF((CountersTable[GroupByKey]=CountersTable[[#This Row],[GroupByKey]]),(CountersTable[GroupByKey]=CountersTable[[#This Row],[GroupByKey]])*CountersTable[RecordedValue])),0)</f>
        <v>16.552945357246848</v>
      </c>
      <c r="L79" cm="1">
        <f t="array" ref="L79">MAX(IF((ProjectInfoTable[ProjectName]=CountersTable[[#This Row],[ProjectName]]),(ProjectInfoTable[ProjectName]=CountersTable[[#This Row],[ProjectName]])*ProjectInfoTable[ConfidenceInterval]))</f>
        <v>0.95</v>
      </c>
      <c r="M79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79" cm="1">
        <f t="array" ref="N79">MIN(IF((CountersTable[GroupByKey]=CountersTable[[#This Row],[GroupByKey]]),(CountersTable[GroupByKey]=CountersTable[[#This Row],[GroupByKey]])*CountersTable[RecordedValue]))</f>
        <v>325</v>
      </c>
      <c r="O79" cm="1">
        <f t="array" ref="O79">MAX(IF((CountersTable[GroupByKey]=CountersTable[[#This Row],[GroupByKey]]),(CountersTable[GroupByKey]=CountersTable[[#This Row],[GroupByKey]])*CountersTable[RecordedValue]))</f>
        <v>392</v>
      </c>
    </row>
    <row r="80" spans="1:15">
      <c r="A80" t="s">
        <v>67</v>
      </c>
      <c r="B80" t="s">
        <v>70</v>
      </c>
      <c r="C80">
        <v>27</v>
      </c>
      <c r="D80" t="s">
        <v>96</v>
      </c>
      <c r="E80" t="s">
        <v>97</v>
      </c>
      <c r="F80" t="s">
        <v>85</v>
      </c>
      <c r="G80">
        <v>202</v>
      </c>
      <c r="H80" t="str">
        <f>CountersTable[[#This Row],[ProjectName]]&amp;CountersTable[[#This Row],[Name]]&amp;CountersTable[[#This Row],[Type]]&amp;CountersTable[[#This Row],[Source]]</f>
        <v>Unnamed ProjectContadortipo1CountUser Specified</v>
      </c>
      <c r="I80" cm="1">
        <f t="array" ref="I80">MAX(IF((ProjectInfoTable[ProjectName]=CountersTable[[#This Row],[ProjectName]]),(ProjectInfoTable[ProjectName]=CountersTable[[#This Row],[ProjectName]])*ProjectInfoTable[NumberOfReplications]))</f>
        <v>30</v>
      </c>
      <c r="J80" cm="1">
        <f t="array" ref="J80">IFERROR(AVERAGE(IF((CountersTable[GroupByKey]=CountersTable[[#This Row],[GroupByKey]]),(CountersTable[GroupByKey]=CountersTable[[#This Row],[GroupByKey]])*CountersTable[RecordedValue])),0)</f>
        <v>209.43333333333334</v>
      </c>
      <c r="K80" cm="1">
        <f t="array" ref="K80">IFERROR(_xlfn.STDEV.S(IF((CountersTable[GroupByKey]=CountersTable[[#This Row],[GroupByKey]]),(CountersTable[GroupByKey]=CountersTable[[#This Row],[GroupByKey]])*CountersTable[RecordedValue])),0)</f>
        <v>16.39319314865763</v>
      </c>
      <c r="L80" cm="1">
        <f t="array" ref="L80">MAX(IF((ProjectInfoTable[ProjectName]=CountersTable[[#This Row],[ProjectName]]),(ProjectInfoTable[ProjectName]=CountersTable[[#This Row],[ProjectName]])*ProjectInfoTable[ConfidenceInterval]))</f>
        <v>0.95</v>
      </c>
      <c r="M80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80" cm="1">
        <f t="array" ref="N80">MIN(IF((CountersTable[GroupByKey]=CountersTable[[#This Row],[GroupByKey]]),(CountersTable[GroupByKey]=CountersTable[[#This Row],[GroupByKey]])*CountersTable[RecordedValue]))</f>
        <v>185</v>
      </c>
      <c r="O80" cm="1">
        <f t="array" ref="O80">MAX(IF((CountersTable[GroupByKey]=CountersTable[[#This Row],[GroupByKey]]),(CountersTable[GroupByKey]=CountersTable[[#This Row],[GroupByKey]])*CountersTable[RecordedValue]))</f>
        <v>251</v>
      </c>
    </row>
    <row r="81" spans="1:15">
      <c r="A81" t="s">
        <v>67</v>
      </c>
      <c r="B81" t="s">
        <v>70</v>
      </c>
      <c r="C81">
        <v>27</v>
      </c>
      <c r="D81" t="s">
        <v>98</v>
      </c>
      <c r="E81" t="s">
        <v>97</v>
      </c>
      <c r="F81" t="s">
        <v>85</v>
      </c>
      <c r="G81">
        <v>105</v>
      </c>
      <c r="H81" t="str">
        <f>CountersTable[[#This Row],[ProjectName]]&amp;CountersTable[[#This Row],[Name]]&amp;CountersTable[[#This Row],[Type]]&amp;CountersTable[[#This Row],[Source]]</f>
        <v>Unnamed ProjectContadortipo2CountUser Specified</v>
      </c>
      <c r="I81" cm="1">
        <f t="array" ref="I81">MAX(IF((ProjectInfoTable[ProjectName]=CountersTable[[#This Row],[ProjectName]]),(ProjectInfoTable[ProjectName]=CountersTable[[#This Row],[ProjectName]])*ProjectInfoTable[NumberOfReplications]))</f>
        <v>30</v>
      </c>
      <c r="J81" cm="1">
        <f t="array" ref="J81">IFERROR(AVERAGE(IF((CountersTable[GroupByKey]=CountersTable[[#This Row],[GroupByKey]]),(CountersTable[GroupByKey]=CountersTable[[#This Row],[GroupByKey]])*CountersTable[RecordedValue])),0)</f>
        <v>100.8</v>
      </c>
      <c r="K81" cm="1">
        <f t="array" ref="K81">IFERROR(_xlfn.STDEV.S(IF((CountersTable[GroupByKey]=CountersTable[[#This Row],[GroupByKey]]),(CountersTable[GroupByKey]=CountersTable[[#This Row],[GroupByKey]])*CountersTable[RecordedValue])),0)</f>
        <v>8.8255116096696504</v>
      </c>
      <c r="L81" cm="1">
        <f t="array" ref="L81">MAX(IF((ProjectInfoTable[ProjectName]=CountersTable[[#This Row],[ProjectName]]),(ProjectInfoTable[ProjectName]=CountersTable[[#This Row],[ProjectName]])*ProjectInfoTable[ConfidenceInterval]))</f>
        <v>0.95</v>
      </c>
      <c r="M81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81" cm="1">
        <f t="array" ref="N81">MIN(IF((CountersTable[GroupByKey]=CountersTable[[#This Row],[GroupByKey]]),(CountersTable[GroupByKey]=CountersTable[[#This Row],[GroupByKey]])*CountersTable[RecordedValue]))</f>
        <v>78</v>
      </c>
      <c r="O81" cm="1">
        <f t="array" ref="O81">MAX(IF((CountersTable[GroupByKey]=CountersTable[[#This Row],[GroupByKey]]),(CountersTable[GroupByKey]=CountersTable[[#This Row],[GroupByKey]])*CountersTable[RecordedValue]))</f>
        <v>116</v>
      </c>
    </row>
    <row r="82" spans="1:15">
      <c r="A82" t="s">
        <v>67</v>
      </c>
      <c r="B82" t="s">
        <v>70</v>
      </c>
      <c r="C82">
        <v>27</v>
      </c>
      <c r="D82" t="s">
        <v>99</v>
      </c>
      <c r="E82" t="s">
        <v>97</v>
      </c>
      <c r="F82" t="s">
        <v>85</v>
      </c>
      <c r="G82">
        <v>325</v>
      </c>
      <c r="H82" t="str">
        <f>CountersTable[[#This Row],[ProjectName]]&amp;CountersTable[[#This Row],[Name]]&amp;CountersTable[[#This Row],[Type]]&amp;CountersTable[[#This Row],[Source]]</f>
        <v>Unnamed ProjectContadortipo3CountUser Specified</v>
      </c>
      <c r="I82" cm="1">
        <f t="array" ref="I82">MAX(IF((ProjectInfoTable[ProjectName]=CountersTable[[#This Row],[ProjectName]]),(ProjectInfoTable[ProjectName]=CountersTable[[#This Row],[ProjectName]])*ProjectInfoTable[NumberOfReplications]))</f>
        <v>30</v>
      </c>
      <c r="J82" cm="1">
        <f t="array" ref="J82">IFERROR(AVERAGE(IF((CountersTable[GroupByKey]=CountersTable[[#This Row],[GroupByKey]]),(CountersTable[GroupByKey]=CountersTable[[#This Row],[GroupByKey]])*CountersTable[RecordedValue])),0)</f>
        <v>369</v>
      </c>
      <c r="K82" cm="1">
        <f t="array" ref="K82">IFERROR(_xlfn.STDEV.S(IF((CountersTable[GroupByKey]=CountersTable[[#This Row],[GroupByKey]]),(CountersTable[GroupByKey]=CountersTable[[#This Row],[GroupByKey]])*CountersTable[RecordedValue])),0)</f>
        <v>16.552945357246848</v>
      </c>
      <c r="L82" cm="1">
        <f t="array" ref="L82">MAX(IF((ProjectInfoTable[ProjectName]=CountersTable[[#This Row],[ProjectName]]),(ProjectInfoTable[ProjectName]=CountersTable[[#This Row],[ProjectName]])*ProjectInfoTable[ConfidenceInterval]))</f>
        <v>0.95</v>
      </c>
      <c r="M82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82" cm="1">
        <f t="array" ref="N82">MIN(IF((CountersTable[GroupByKey]=CountersTable[[#This Row],[GroupByKey]]),(CountersTable[GroupByKey]=CountersTable[[#This Row],[GroupByKey]])*CountersTable[RecordedValue]))</f>
        <v>325</v>
      </c>
      <c r="O82" cm="1">
        <f t="array" ref="O82">MAX(IF((CountersTable[GroupByKey]=CountersTable[[#This Row],[GroupByKey]]),(CountersTable[GroupByKey]=CountersTable[[#This Row],[GroupByKey]])*CountersTable[RecordedValue]))</f>
        <v>392</v>
      </c>
    </row>
    <row r="83" spans="1:15">
      <c r="A83" t="s">
        <v>67</v>
      </c>
      <c r="B83" t="s">
        <v>70</v>
      </c>
      <c r="C83">
        <v>28</v>
      </c>
      <c r="D83" t="s">
        <v>96</v>
      </c>
      <c r="E83" t="s">
        <v>97</v>
      </c>
      <c r="F83" t="s">
        <v>85</v>
      </c>
      <c r="G83">
        <v>217</v>
      </c>
      <c r="H83" t="str">
        <f>CountersTable[[#This Row],[ProjectName]]&amp;CountersTable[[#This Row],[Name]]&amp;CountersTable[[#This Row],[Type]]&amp;CountersTable[[#This Row],[Source]]</f>
        <v>Unnamed ProjectContadortipo1CountUser Specified</v>
      </c>
      <c r="I83" cm="1">
        <f t="array" ref="I83">MAX(IF((ProjectInfoTable[ProjectName]=CountersTable[[#This Row],[ProjectName]]),(ProjectInfoTable[ProjectName]=CountersTable[[#This Row],[ProjectName]])*ProjectInfoTable[NumberOfReplications]))</f>
        <v>30</v>
      </c>
      <c r="J83" cm="1">
        <f t="array" ref="J83">IFERROR(AVERAGE(IF((CountersTable[GroupByKey]=CountersTable[[#This Row],[GroupByKey]]),(CountersTable[GroupByKey]=CountersTable[[#This Row],[GroupByKey]])*CountersTable[RecordedValue])),0)</f>
        <v>209.43333333333334</v>
      </c>
      <c r="K83" cm="1">
        <f t="array" ref="K83">IFERROR(_xlfn.STDEV.S(IF((CountersTable[GroupByKey]=CountersTable[[#This Row],[GroupByKey]]),(CountersTable[GroupByKey]=CountersTable[[#This Row],[GroupByKey]])*CountersTable[RecordedValue])),0)</f>
        <v>16.39319314865763</v>
      </c>
      <c r="L83" cm="1">
        <f t="array" ref="L83">MAX(IF((ProjectInfoTable[ProjectName]=CountersTable[[#This Row],[ProjectName]]),(ProjectInfoTable[ProjectName]=CountersTable[[#This Row],[ProjectName]])*ProjectInfoTable[ConfidenceInterval]))</f>
        <v>0.95</v>
      </c>
      <c r="M83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83" cm="1">
        <f t="array" ref="N83">MIN(IF((CountersTable[GroupByKey]=CountersTable[[#This Row],[GroupByKey]]),(CountersTable[GroupByKey]=CountersTable[[#This Row],[GroupByKey]])*CountersTable[RecordedValue]))</f>
        <v>185</v>
      </c>
      <c r="O83" cm="1">
        <f t="array" ref="O83">MAX(IF((CountersTable[GroupByKey]=CountersTable[[#This Row],[GroupByKey]]),(CountersTable[GroupByKey]=CountersTable[[#This Row],[GroupByKey]])*CountersTable[RecordedValue]))</f>
        <v>251</v>
      </c>
    </row>
    <row r="84" spans="1:15">
      <c r="A84" t="s">
        <v>67</v>
      </c>
      <c r="B84" t="s">
        <v>70</v>
      </c>
      <c r="C84">
        <v>28</v>
      </c>
      <c r="D84" t="s">
        <v>98</v>
      </c>
      <c r="E84" t="s">
        <v>97</v>
      </c>
      <c r="F84" t="s">
        <v>85</v>
      </c>
      <c r="G84">
        <v>100</v>
      </c>
      <c r="H84" t="str">
        <f>CountersTable[[#This Row],[ProjectName]]&amp;CountersTable[[#This Row],[Name]]&amp;CountersTable[[#This Row],[Type]]&amp;CountersTable[[#This Row],[Source]]</f>
        <v>Unnamed ProjectContadortipo2CountUser Specified</v>
      </c>
      <c r="I84" cm="1">
        <f t="array" ref="I84">MAX(IF((ProjectInfoTable[ProjectName]=CountersTable[[#This Row],[ProjectName]]),(ProjectInfoTable[ProjectName]=CountersTable[[#This Row],[ProjectName]])*ProjectInfoTable[NumberOfReplications]))</f>
        <v>30</v>
      </c>
      <c r="J84" cm="1">
        <f t="array" ref="J84">IFERROR(AVERAGE(IF((CountersTable[GroupByKey]=CountersTable[[#This Row],[GroupByKey]]),(CountersTable[GroupByKey]=CountersTable[[#This Row],[GroupByKey]])*CountersTable[RecordedValue])),0)</f>
        <v>100.8</v>
      </c>
      <c r="K84" cm="1">
        <f t="array" ref="K84">IFERROR(_xlfn.STDEV.S(IF((CountersTable[GroupByKey]=CountersTable[[#This Row],[GroupByKey]]),(CountersTable[GroupByKey]=CountersTable[[#This Row],[GroupByKey]])*CountersTable[RecordedValue])),0)</f>
        <v>8.8255116096696504</v>
      </c>
      <c r="L84" cm="1">
        <f t="array" ref="L84">MAX(IF((ProjectInfoTable[ProjectName]=CountersTable[[#This Row],[ProjectName]]),(ProjectInfoTable[ProjectName]=CountersTable[[#This Row],[ProjectName]])*ProjectInfoTable[ConfidenceInterval]))</f>
        <v>0.95</v>
      </c>
      <c r="M84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84" cm="1">
        <f t="array" ref="N84">MIN(IF((CountersTable[GroupByKey]=CountersTable[[#This Row],[GroupByKey]]),(CountersTable[GroupByKey]=CountersTable[[#This Row],[GroupByKey]])*CountersTable[RecordedValue]))</f>
        <v>78</v>
      </c>
      <c r="O84" cm="1">
        <f t="array" ref="O84">MAX(IF((CountersTable[GroupByKey]=CountersTable[[#This Row],[GroupByKey]]),(CountersTable[GroupByKey]=CountersTable[[#This Row],[GroupByKey]])*CountersTable[RecordedValue]))</f>
        <v>116</v>
      </c>
    </row>
    <row r="85" spans="1:15">
      <c r="A85" t="s">
        <v>67</v>
      </c>
      <c r="B85" t="s">
        <v>70</v>
      </c>
      <c r="C85">
        <v>28</v>
      </c>
      <c r="D85" t="s">
        <v>99</v>
      </c>
      <c r="E85" t="s">
        <v>97</v>
      </c>
      <c r="F85" t="s">
        <v>85</v>
      </c>
      <c r="G85">
        <v>366</v>
      </c>
      <c r="H85" t="str">
        <f>CountersTable[[#This Row],[ProjectName]]&amp;CountersTable[[#This Row],[Name]]&amp;CountersTable[[#This Row],[Type]]&amp;CountersTable[[#This Row],[Source]]</f>
        <v>Unnamed ProjectContadortipo3CountUser Specified</v>
      </c>
      <c r="I85" cm="1">
        <f t="array" ref="I85">MAX(IF((ProjectInfoTable[ProjectName]=CountersTable[[#This Row],[ProjectName]]),(ProjectInfoTable[ProjectName]=CountersTable[[#This Row],[ProjectName]])*ProjectInfoTable[NumberOfReplications]))</f>
        <v>30</v>
      </c>
      <c r="J85" cm="1">
        <f t="array" ref="J85">IFERROR(AVERAGE(IF((CountersTable[GroupByKey]=CountersTable[[#This Row],[GroupByKey]]),(CountersTable[GroupByKey]=CountersTable[[#This Row],[GroupByKey]])*CountersTable[RecordedValue])),0)</f>
        <v>369</v>
      </c>
      <c r="K85" cm="1">
        <f t="array" ref="K85">IFERROR(_xlfn.STDEV.S(IF((CountersTable[GroupByKey]=CountersTable[[#This Row],[GroupByKey]]),(CountersTable[GroupByKey]=CountersTable[[#This Row],[GroupByKey]])*CountersTable[RecordedValue])),0)</f>
        <v>16.552945357246848</v>
      </c>
      <c r="L85" cm="1">
        <f t="array" ref="L85">MAX(IF((ProjectInfoTable[ProjectName]=CountersTable[[#This Row],[ProjectName]]),(ProjectInfoTable[ProjectName]=CountersTable[[#This Row],[ProjectName]])*ProjectInfoTable[ConfidenceInterval]))</f>
        <v>0.95</v>
      </c>
      <c r="M85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85" cm="1">
        <f t="array" ref="N85">MIN(IF((CountersTable[GroupByKey]=CountersTable[[#This Row],[GroupByKey]]),(CountersTable[GroupByKey]=CountersTable[[#This Row],[GroupByKey]])*CountersTable[RecordedValue]))</f>
        <v>325</v>
      </c>
      <c r="O85" cm="1">
        <f t="array" ref="O85">MAX(IF((CountersTable[GroupByKey]=CountersTable[[#This Row],[GroupByKey]]),(CountersTable[GroupByKey]=CountersTable[[#This Row],[GroupByKey]])*CountersTable[RecordedValue]))</f>
        <v>392</v>
      </c>
    </row>
    <row r="86" spans="1:15">
      <c r="A86" t="s">
        <v>67</v>
      </c>
      <c r="B86" t="s">
        <v>70</v>
      </c>
      <c r="C86">
        <v>29</v>
      </c>
      <c r="D86" t="s">
        <v>96</v>
      </c>
      <c r="E86" t="s">
        <v>97</v>
      </c>
      <c r="F86" t="s">
        <v>85</v>
      </c>
      <c r="G86">
        <v>246</v>
      </c>
      <c r="H86" t="str">
        <f>CountersTable[[#This Row],[ProjectName]]&amp;CountersTable[[#This Row],[Name]]&amp;CountersTable[[#This Row],[Type]]&amp;CountersTable[[#This Row],[Source]]</f>
        <v>Unnamed ProjectContadortipo1CountUser Specified</v>
      </c>
      <c r="I86" cm="1">
        <f t="array" ref="I86">MAX(IF((ProjectInfoTable[ProjectName]=CountersTable[[#This Row],[ProjectName]]),(ProjectInfoTable[ProjectName]=CountersTable[[#This Row],[ProjectName]])*ProjectInfoTable[NumberOfReplications]))</f>
        <v>30</v>
      </c>
      <c r="J86" cm="1">
        <f t="array" ref="J86">IFERROR(AVERAGE(IF((CountersTable[GroupByKey]=CountersTable[[#This Row],[GroupByKey]]),(CountersTable[GroupByKey]=CountersTable[[#This Row],[GroupByKey]])*CountersTable[RecordedValue])),0)</f>
        <v>209.43333333333334</v>
      </c>
      <c r="K86" cm="1">
        <f t="array" ref="K86">IFERROR(_xlfn.STDEV.S(IF((CountersTable[GroupByKey]=CountersTable[[#This Row],[GroupByKey]]),(CountersTable[GroupByKey]=CountersTable[[#This Row],[GroupByKey]])*CountersTable[RecordedValue])),0)</f>
        <v>16.39319314865763</v>
      </c>
      <c r="L86" cm="1">
        <f t="array" ref="L86">MAX(IF((ProjectInfoTable[ProjectName]=CountersTable[[#This Row],[ProjectName]]),(ProjectInfoTable[ProjectName]=CountersTable[[#This Row],[ProjectName]])*ProjectInfoTable[ConfidenceInterval]))</f>
        <v>0.95</v>
      </c>
      <c r="M86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86" cm="1">
        <f t="array" ref="N86">MIN(IF((CountersTable[GroupByKey]=CountersTable[[#This Row],[GroupByKey]]),(CountersTable[GroupByKey]=CountersTable[[#This Row],[GroupByKey]])*CountersTable[RecordedValue]))</f>
        <v>185</v>
      </c>
      <c r="O86" cm="1">
        <f t="array" ref="O86">MAX(IF((CountersTable[GroupByKey]=CountersTable[[#This Row],[GroupByKey]]),(CountersTable[GroupByKey]=CountersTable[[#This Row],[GroupByKey]])*CountersTable[RecordedValue]))</f>
        <v>251</v>
      </c>
    </row>
    <row r="87" spans="1:15">
      <c r="A87" t="s">
        <v>67</v>
      </c>
      <c r="B87" t="s">
        <v>70</v>
      </c>
      <c r="C87">
        <v>29</v>
      </c>
      <c r="D87" t="s">
        <v>98</v>
      </c>
      <c r="E87" t="s">
        <v>97</v>
      </c>
      <c r="F87" t="s">
        <v>85</v>
      </c>
      <c r="G87">
        <v>111</v>
      </c>
      <c r="H87" t="str">
        <f>CountersTable[[#This Row],[ProjectName]]&amp;CountersTable[[#This Row],[Name]]&amp;CountersTable[[#This Row],[Type]]&amp;CountersTable[[#This Row],[Source]]</f>
        <v>Unnamed ProjectContadortipo2CountUser Specified</v>
      </c>
      <c r="I87" cm="1">
        <f t="array" ref="I87">MAX(IF((ProjectInfoTable[ProjectName]=CountersTable[[#This Row],[ProjectName]]),(ProjectInfoTable[ProjectName]=CountersTable[[#This Row],[ProjectName]])*ProjectInfoTable[NumberOfReplications]))</f>
        <v>30</v>
      </c>
      <c r="J87" cm="1">
        <f t="array" ref="J87">IFERROR(AVERAGE(IF((CountersTable[GroupByKey]=CountersTable[[#This Row],[GroupByKey]]),(CountersTable[GroupByKey]=CountersTable[[#This Row],[GroupByKey]])*CountersTable[RecordedValue])),0)</f>
        <v>100.8</v>
      </c>
      <c r="K87" cm="1">
        <f t="array" ref="K87">IFERROR(_xlfn.STDEV.S(IF((CountersTable[GroupByKey]=CountersTable[[#This Row],[GroupByKey]]),(CountersTable[GroupByKey]=CountersTable[[#This Row],[GroupByKey]])*CountersTable[RecordedValue])),0)</f>
        <v>8.8255116096696504</v>
      </c>
      <c r="L87" cm="1">
        <f t="array" ref="L87">MAX(IF((ProjectInfoTable[ProjectName]=CountersTable[[#This Row],[ProjectName]]),(ProjectInfoTable[ProjectName]=CountersTable[[#This Row],[ProjectName]])*ProjectInfoTable[ConfidenceInterval]))</f>
        <v>0.95</v>
      </c>
      <c r="M87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87" cm="1">
        <f t="array" ref="N87">MIN(IF((CountersTable[GroupByKey]=CountersTable[[#This Row],[GroupByKey]]),(CountersTable[GroupByKey]=CountersTable[[#This Row],[GroupByKey]])*CountersTable[RecordedValue]))</f>
        <v>78</v>
      </c>
      <c r="O87" cm="1">
        <f t="array" ref="O87">MAX(IF((CountersTable[GroupByKey]=CountersTable[[#This Row],[GroupByKey]]),(CountersTable[GroupByKey]=CountersTable[[#This Row],[GroupByKey]])*CountersTable[RecordedValue]))</f>
        <v>116</v>
      </c>
    </row>
    <row r="88" spans="1:15">
      <c r="A88" t="s">
        <v>67</v>
      </c>
      <c r="B88" t="s">
        <v>70</v>
      </c>
      <c r="C88">
        <v>29</v>
      </c>
      <c r="D88" t="s">
        <v>99</v>
      </c>
      <c r="E88" t="s">
        <v>97</v>
      </c>
      <c r="F88" t="s">
        <v>85</v>
      </c>
      <c r="G88">
        <v>372</v>
      </c>
      <c r="H88" t="str">
        <f>CountersTable[[#This Row],[ProjectName]]&amp;CountersTable[[#This Row],[Name]]&amp;CountersTable[[#This Row],[Type]]&amp;CountersTable[[#This Row],[Source]]</f>
        <v>Unnamed ProjectContadortipo3CountUser Specified</v>
      </c>
      <c r="I88" cm="1">
        <f t="array" ref="I88">MAX(IF((ProjectInfoTable[ProjectName]=CountersTable[[#This Row],[ProjectName]]),(ProjectInfoTable[ProjectName]=CountersTable[[#This Row],[ProjectName]])*ProjectInfoTable[NumberOfReplications]))</f>
        <v>30</v>
      </c>
      <c r="J88" cm="1">
        <f t="array" ref="J88">IFERROR(AVERAGE(IF((CountersTable[GroupByKey]=CountersTable[[#This Row],[GroupByKey]]),(CountersTable[GroupByKey]=CountersTable[[#This Row],[GroupByKey]])*CountersTable[RecordedValue])),0)</f>
        <v>369</v>
      </c>
      <c r="K88" cm="1">
        <f t="array" ref="K88">IFERROR(_xlfn.STDEV.S(IF((CountersTable[GroupByKey]=CountersTable[[#This Row],[GroupByKey]]),(CountersTable[GroupByKey]=CountersTable[[#This Row],[GroupByKey]])*CountersTable[RecordedValue])),0)</f>
        <v>16.552945357246848</v>
      </c>
      <c r="L88" cm="1">
        <f t="array" ref="L88">MAX(IF((ProjectInfoTable[ProjectName]=CountersTable[[#This Row],[ProjectName]]),(ProjectInfoTable[ProjectName]=CountersTable[[#This Row],[ProjectName]])*ProjectInfoTable[ConfidenceInterval]))</f>
        <v>0.95</v>
      </c>
      <c r="M88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88" cm="1">
        <f t="array" ref="N88">MIN(IF((CountersTable[GroupByKey]=CountersTable[[#This Row],[GroupByKey]]),(CountersTable[GroupByKey]=CountersTable[[#This Row],[GroupByKey]])*CountersTable[RecordedValue]))</f>
        <v>325</v>
      </c>
      <c r="O88" cm="1">
        <f t="array" ref="O88">MAX(IF((CountersTable[GroupByKey]=CountersTable[[#This Row],[GroupByKey]]),(CountersTable[GroupByKey]=CountersTable[[#This Row],[GroupByKey]])*CountersTable[RecordedValue]))</f>
        <v>392</v>
      </c>
    </row>
    <row r="89" spans="1:15">
      <c r="A89" t="s">
        <v>67</v>
      </c>
      <c r="B89" t="s">
        <v>70</v>
      </c>
      <c r="C89">
        <v>30</v>
      </c>
      <c r="D89" t="s">
        <v>96</v>
      </c>
      <c r="E89" t="s">
        <v>97</v>
      </c>
      <c r="F89" t="s">
        <v>85</v>
      </c>
      <c r="G89">
        <v>193</v>
      </c>
      <c r="H89" t="str">
        <f>CountersTable[[#This Row],[ProjectName]]&amp;CountersTable[[#This Row],[Name]]&amp;CountersTable[[#This Row],[Type]]&amp;CountersTable[[#This Row],[Source]]</f>
        <v>Unnamed ProjectContadortipo1CountUser Specified</v>
      </c>
      <c r="I89" cm="1">
        <f t="array" ref="I89">MAX(IF((ProjectInfoTable[ProjectName]=CountersTable[[#This Row],[ProjectName]]),(ProjectInfoTable[ProjectName]=CountersTable[[#This Row],[ProjectName]])*ProjectInfoTable[NumberOfReplications]))</f>
        <v>30</v>
      </c>
      <c r="J89" cm="1">
        <f t="array" ref="J89">IFERROR(AVERAGE(IF((CountersTable[GroupByKey]=CountersTable[[#This Row],[GroupByKey]]),(CountersTable[GroupByKey]=CountersTable[[#This Row],[GroupByKey]])*CountersTable[RecordedValue])),0)</f>
        <v>209.43333333333334</v>
      </c>
      <c r="K89" cm="1">
        <f t="array" ref="K89">IFERROR(_xlfn.STDEV.S(IF((CountersTable[GroupByKey]=CountersTable[[#This Row],[GroupByKey]]),(CountersTable[GroupByKey]=CountersTable[[#This Row],[GroupByKey]])*CountersTable[RecordedValue])),0)</f>
        <v>16.39319314865763</v>
      </c>
      <c r="L89" cm="1">
        <f t="array" ref="L89">MAX(IF((ProjectInfoTable[ProjectName]=CountersTable[[#This Row],[ProjectName]]),(ProjectInfoTable[ProjectName]=CountersTable[[#This Row],[ProjectName]])*ProjectInfoTable[ConfidenceInterval]))</f>
        <v>0.95</v>
      </c>
      <c r="M89">
        <f>IFERROR(_xlfn.T.INV.2T(1 - CountersTable[[#This Row],[ConfidenceInterval]],(CountersTable[[#This Row],[RepsRequested]]-1))*CountersTable[[#This Row],[StandardDeviation]]/SQRT(CountersTable[[#This Row],[RepsRequested]]),400000000000000000000)</f>
        <v>6.121318922769599</v>
      </c>
      <c r="N89" cm="1">
        <f t="array" ref="N89">MIN(IF((CountersTable[GroupByKey]=CountersTable[[#This Row],[GroupByKey]]),(CountersTable[GroupByKey]=CountersTable[[#This Row],[GroupByKey]])*CountersTable[RecordedValue]))</f>
        <v>185</v>
      </c>
      <c r="O89" cm="1">
        <f t="array" ref="O89">MAX(IF((CountersTable[GroupByKey]=CountersTable[[#This Row],[GroupByKey]]),(CountersTable[GroupByKey]=CountersTable[[#This Row],[GroupByKey]])*CountersTable[RecordedValue]))</f>
        <v>251</v>
      </c>
    </row>
    <row r="90" spans="1:15">
      <c r="A90" t="s">
        <v>67</v>
      </c>
      <c r="B90" t="s">
        <v>70</v>
      </c>
      <c r="C90">
        <v>30</v>
      </c>
      <c r="D90" t="s">
        <v>98</v>
      </c>
      <c r="E90" t="s">
        <v>97</v>
      </c>
      <c r="F90" t="s">
        <v>85</v>
      </c>
      <c r="G90">
        <v>94</v>
      </c>
      <c r="H90" t="str">
        <f>CountersTable[[#This Row],[ProjectName]]&amp;CountersTable[[#This Row],[Name]]&amp;CountersTable[[#This Row],[Type]]&amp;CountersTable[[#This Row],[Source]]</f>
        <v>Unnamed ProjectContadortipo2CountUser Specified</v>
      </c>
      <c r="I90" cm="1">
        <f t="array" ref="I90">MAX(IF((ProjectInfoTable[ProjectName]=CountersTable[[#This Row],[ProjectName]]),(ProjectInfoTable[ProjectName]=CountersTable[[#This Row],[ProjectName]])*ProjectInfoTable[NumberOfReplications]))</f>
        <v>30</v>
      </c>
      <c r="J90" cm="1">
        <f t="array" ref="J90">IFERROR(AVERAGE(IF((CountersTable[GroupByKey]=CountersTable[[#This Row],[GroupByKey]]),(CountersTable[GroupByKey]=CountersTable[[#This Row],[GroupByKey]])*CountersTable[RecordedValue])),0)</f>
        <v>100.8</v>
      </c>
      <c r="K90" cm="1">
        <f t="array" ref="K90">IFERROR(_xlfn.STDEV.S(IF((CountersTable[GroupByKey]=CountersTable[[#This Row],[GroupByKey]]),(CountersTable[GroupByKey]=CountersTable[[#This Row],[GroupByKey]])*CountersTable[RecordedValue])),0)</f>
        <v>8.8255116096696504</v>
      </c>
      <c r="L90" cm="1">
        <f t="array" ref="L90">MAX(IF((ProjectInfoTable[ProjectName]=CountersTable[[#This Row],[ProjectName]]),(ProjectInfoTable[ProjectName]=CountersTable[[#This Row],[ProjectName]])*ProjectInfoTable[ConfidenceInterval]))</f>
        <v>0.95</v>
      </c>
      <c r="M90">
        <f>IFERROR(_xlfn.T.INV.2T(1 - CountersTable[[#This Row],[ConfidenceInterval]],(CountersTable[[#This Row],[RepsRequested]]-1))*CountersTable[[#This Row],[StandardDeviation]]/SQRT(CountersTable[[#This Row],[RepsRequested]]),400000000000000000000)</f>
        <v>3.2955001950805047</v>
      </c>
      <c r="N90" cm="1">
        <f t="array" ref="N90">MIN(IF((CountersTable[GroupByKey]=CountersTable[[#This Row],[GroupByKey]]),(CountersTable[GroupByKey]=CountersTable[[#This Row],[GroupByKey]])*CountersTable[RecordedValue]))</f>
        <v>78</v>
      </c>
      <c r="O90" cm="1">
        <f t="array" ref="O90">MAX(IF((CountersTable[GroupByKey]=CountersTable[[#This Row],[GroupByKey]]),(CountersTable[GroupByKey]=CountersTable[[#This Row],[GroupByKey]])*CountersTable[RecordedValue]))</f>
        <v>116</v>
      </c>
    </row>
    <row r="91" spans="1:15">
      <c r="A91" t="s">
        <v>67</v>
      </c>
      <c r="B91" t="s">
        <v>70</v>
      </c>
      <c r="C91">
        <v>30</v>
      </c>
      <c r="D91" t="s">
        <v>99</v>
      </c>
      <c r="E91" t="s">
        <v>97</v>
      </c>
      <c r="F91" t="s">
        <v>85</v>
      </c>
      <c r="G91">
        <v>388</v>
      </c>
      <c r="H91" t="str">
        <f>CountersTable[[#This Row],[ProjectName]]&amp;CountersTable[[#This Row],[Name]]&amp;CountersTable[[#This Row],[Type]]&amp;CountersTable[[#This Row],[Source]]</f>
        <v>Unnamed ProjectContadortipo3CountUser Specified</v>
      </c>
      <c r="I91" cm="1">
        <f t="array" ref="I91">MAX(IF((ProjectInfoTable[ProjectName]=CountersTable[[#This Row],[ProjectName]]),(ProjectInfoTable[ProjectName]=CountersTable[[#This Row],[ProjectName]])*ProjectInfoTable[NumberOfReplications]))</f>
        <v>30</v>
      </c>
      <c r="J91" cm="1">
        <f t="array" ref="J91">IFERROR(AVERAGE(IF((CountersTable[GroupByKey]=CountersTable[[#This Row],[GroupByKey]]),(CountersTable[GroupByKey]=CountersTable[[#This Row],[GroupByKey]])*CountersTable[RecordedValue])),0)</f>
        <v>369</v>
      </c>
      <c r="K91" cm="1">
        <f t="array" ref="K91">IFERROR(_xlfn.STDEV.S(IF((CountersTable[GroupByKey]=CountersTable[[#This Row],[GroupByKey]]),(CountersTable[GroupByKey]=CountersTable[[#This Row],[GroupByKey]])*CountersTable[RecordedValue])),0)</f>
        <v>16.552945357246848</v>
      </c>
      <c r="L91" cm="1">
        <f t="array" ref="L91">MAX(IF((ProjectInfoTable[ProjectName]=CountersTable[[#This Row],[ProjectName]]),(ProjectInfoTable[ProjectName]=CountersTable[[#This Row],[ProjectName]])*ProjectInfoTable[ConfidenceInterval]))</f>
        <v>0.95</v>
      </c>
      <c r="M91">
        <f>IFERROR(_xlfn.T.INV.2T(1 - CountersTable[[#This Row],[ConfidenceInterval]],(CountersTable[[#This Row],[RepsRequested]]-1))*CountersTable[[#This Row],[StandardDeviation]]/SQRT(CountersTable[[#This Row],[RepsRequested]]),400000000000000000000)</f>
        <v>6.1809713778174729</v>
      </c>
      <c r="N91" cm="1">
        <f t="array" ref="N91">MIN(IF((CountersTable[GroupByKey]=CountersTable[[#This Row],[GroupByKey]]),(CountersTable[GroupByKey]=CountersTable[[#This Row],[GroupByKey]])*CountersTable[RecordedValue]))</f>
        <v>325</v>
      </c>
      <c r="O91" cm="1">
        <f t="array" ref="O91">MAX(IF((CountersTable[GroupByKey]=CountersTable[[#This Row],[GroupByKey]]),(CountersTable[GroupByKey]=CountersTable[[#This Row],[GroupByKey]])*CountersTable[RecordedValue]))</f>
        <v>392</v>
      </c>
    </row>
  </sheetData>
  <phoneticPr fontId="2" type="noConversion"/>
  <conditionalFormatting sqref="H2:O91">
    <cfRule type="expression" dxfId="5" priority="2">
      <formula>MOD(ROW(),2)=0</formula>
    </cfRule>
  </conditionalFormatting>
  <conditionalFormatting sqref="M2:M91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11"/>
  <sheetViews>
    <sheetView workbookViewId="0">
      <selection activeCell="A2" sqref="A2:H31"/>
    </sheetView>
  </sheetViews>
  <sheetFormatPr defaultRowHeight="15"/>
  <cols>
    <col min="1" max="1" width="16.42578125" bestFit="1" customWidth="1"/>
    <col min="2" max="2" width="22.28515625" bestFit="1" customWidth="1"/>
    <col min="3" max="3" width="13.28515625" bestFit="1" customWidth="1"/>
    <col min="4" max="4" width="27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0.710937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>
      <c r="A2" t="s">
        <v>67</v>
      </c>
      <c r="B2" t="s">
        <v>70</v>
      </c>
      <c r="C2">
        <v>1</v>
      </c>
      <c r="D2" t="s">
        <v>100</v>
      </c>
      <c r="E2" t="s">
        <v>101</v>
      </c>
      <c r="F2" t="s">
        <v>73</v>
      </c>
      <c r="G2">
        <v>710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684.23333333333335</v>
      </c>
      <c r="L2" cm="1">
        <f t="array" ref="L2">IFERROR(_xlfn.STDEV.S(IF((OutputTable[GroupByKey]=OutputTable[[#This Row],[GroupByKey]]),(OutputTable[GroupByKey]=OutputTable[[#This Row],[GroupByKey]])*OutputTable[RecordedValue])),0)</f>
        <v>24.542269424520363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2" cm="1">
        <f t="array" ref="O2">MIN(IF((OutputTable[GroupByKey]=OutputTable[[#This Row],[GroupByKey]]),(OutputTable[GroupByKey]=OutputTable[[#This Row],[GroupByKey]])*OutputTable[RecordedValue]))</f>
        <v>639</v>
      </c>
      <c r="P2" cm="1">
        <f t="array" ref="P2">MAX(IF((OutputTable[GroupByKey]=OutputTable[[#This Row],[GroupByKey]]),(OutputTable[GroupByKey]=OutputTable[[#This Row],[GroupByKey]])*OutputTable[RecordedValue]))</f>
        <v>740</v>
      </c>
    </row>
    <row r="3" spans="1:16">
      <c r="A3" t="s">
        <v>67</v>
      </c>
      <c r="B3" t="s">
        <v>70</v>
      </c>
      <c r="C3">
        <v>1</v>
      </c>
      <c r="D3" t="s">
        <v>102</v>
      </c>
      <c r="E3" t="s">
        <v>103</v>
      </c>
      <c r="F3" t="s">
        <v>73</v>
      </c>
      <c r="G3">
        <v>703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679.23333333333335</v>
      </c>
      <c r="L3" cm="1">
        <f t="array" ref="L3">IFERROR(_xlfn.STDEV.S(IF((OutputTable[GroupByKey]=OutputTable[[#This Row],[GroupByKey]]),(OutputTable[GroupByKey]=OutputTable[[#This Row],[GroupByKey]])*OutputTable[RecordedValue])),0)</f>
        <v>24.567547045158822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3" cm="1">
        <f t="array" ref="O3">MIN(IF((OutputTable[GroupByKey]=OutputTable[[#This Row],[GroupByKey]]),(OutputTable[GroupByKey]=OutputTable[[#This Row],[GroupByKey]])*OutputTable[RecordedValue]))</f>
        <v>632</v>
      </c>
      <c r="P3" cm="1">
        <f t="array" ref="P3">MAX(IF((OutputTable[GroupByKey]=OutputTable[[#This Row],[GroupByKey]]),(OutputTable[GroupByKey]=OutputTable[[#This Row],[GroupByKey]])*OutputTable[RecordedValue]))</f>
        <v>729</v>
      </c>
    </row>
    <row r="4" spans="1:16">
      <c r="A4" t="s">
        <v>67</v>
      </c>
      <c r="B4" t="s">
        <v>70</v>
      </c>
      <c r="C4">
        <v>1</v>
      </c>
      <c r="D4" t="s">
        <v>104</v>
      </c>
      <c r="E4" t="s">
        <v>103</v>
      </c>
      <c r="F4" t="s">
        <v>105</v>
      </c>
      <c r="G4">
        <v>703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679.23333333333335</v>
      </c>
      <c r="L4" cm="1">
        <f t="array" ref="L4">IFERROR(_xlfn.STDEV.S(IF((OutputTable[GroupByKey]=OutputTable[[#This Row],[GroupByKey]]),(OutputTable[GroupByKey]=OutputTable[[#This Row],[GroupByKey]])*OutputTable[RecordedValue])),0)</f>
        <v>24.567547045158822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4" cm="1">
        <f t="array" ref="O4">MIN(IF((OutputTable[GroupByKey]=OutputTable[[#This Row],[GroupByKey]]),(OutputTable[GroupByKey]=OutputTable[[#This Row],[GroupByKey]])*OutputTable[RecordedValue]))</f>
        <v>632</v>
      </c>
      <c r="P4" cm="1">
        <f t="array" ref="P4">MAX(IF((OutputTable[GroupByKey]=OutputTable[[#This Row],[GroupByKey]]),(OutputTable[GroupByKey]=OutputTable[[#This Row],[GroupByKey]])*OutputTable[RecordedValue]))</f>
        <v>729</v>
      </c>
    </row>
    <row r="5" spans="1:16">
      <c r="A5" t="s">
        <v>67</v>
      </c>
      <c r="B5" t="s">
        <v>70</v>
      </c>
      <c r="C5">
        <v>1</v>
      </c>
      <c r="D5" t="s">
        <v>106</v>
      </c>
      <c r="E5" t="s">
        <v>107</v>
      </c>
      <c r="F5" t="s">
        <v>92</v>
      </c>
      <c r="G5">
        <v>707</v>
      </c>
      <c r="H5">
        <v>0</v>
      </c>
      <c r="I5" t="str">
        <f>OutputTable[[#This Row],[ProjectName]]&amp;OutputTable[[#This Row],[Name]]&amp;OutputTable[[#This Row],[Type]]&amp;OutputTable[[#This Row],[Source]]</f>
        <v>Unnamed ProjectrCajero.NumberSeizedTotal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682.33333333333337</v>
      </c>
      <c r="L5" cm="1">
        <f t="array" ref="L5">IFERROR(_xlfn.STDEV.S(IF((OutputTable[GroupByKey]=OutputTable[[#This Row],[GroupByKey]]),(OutputTable[GroupByKey]=OutputTable[[#This Row],[GroupByKey]])*OutputTable[RecordedValue])),0)</f>
        <v>24.270506201238735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5" cm="1">
        <f t="array" ref="O5">MIN(IF((OutputTable[GroupByKey]=OutputTable[[#This Row],[GroupByKey]]),(OutputTable[GroupByKey]=OutputTable[[#This Row],[GroupByKey]])*OutputTable[RecordedValue]))</f>
        <v>636</v>
      </c>
      <c r="P5" cm="1">
        <f t="array" ref="P5">MAX(IF((OutputTable[GroupByKey]=OutputTable[[#This Row],[GroupByKey]]),(OutputTable[GroupByKey]=OutputTable[[#This Row],[GroupByKey]])*OutputTable[RecordedValue]))</f>
        <v>733</v>
      </c>
    </row>
    <row r="6" spans="1:16">
      <c r="A6" t="s">
        <v>67</v>
      </c>
      <c r="B6" t="s">
        <v>70</v>
      </c>
      <c r="C6">
        <v>1</v>
      </c>
      <c r="D6" t="s">
        <v>108</v>
      </c>
      <c r="E6" t="s">
        <v>109</v>
      </c>
      <c r="F6" t="s">
        <v>92</v>
      </c>
      <c r="G6">
        <v>0.888747032669718</v>
      </c>
      <c r="H6">
        <v>0</v>
      </c>
      <c r="I6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0.85304256406630496</v>
      </c>
      <c r="L6" cm="1">
        <f t="array" ref="L6">IFERROR(_xlfn.STDEV.S(IF((OutputTable[GroupByKey]=OutputTable[[#This Row],[GroupByKey]]),(OutputTable[GroupByKey]=OutputTable[[#This Row],[GroupByKey]])*OutputTable[RecordedValue])),0)</f>
        <v>2.975273171257193E-2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6" cm="1">
        <f t="array" ref="O6">MIN(IF((OutputTable[GroupByKey]=OutputTable[[#This Row],[GroupByKey]]),(OutputTable[GroupByKey]=OutputTable[[#This Row],[GroupByKey]])*OutputTable[RecordedValue]))</f>
        <v>0.79563957753275305</v>
      </c>
      <c r="P6" cm="1">
        <f t="array" ref="P6">MAX(IF((OutputTable[GroupByKey]=OutputTable[[#This Row],[GroupByKey]]),(OutputTable[GroupByKey]=OutputTable[[#This Row],[GroupByKey]])*OutputTable[RecordedValue]))</f>
        <v>0.91388224334429202</v>
      </c>
    </row>
    <row r="7" spans="1:16">
      <c r="A7" t="s">
        <v>67</v>
      </c>
      <c r="B7" t="s">
        <v>70</v>
      </c>
      <c r="C7">
        <v>1</v>
      </c>
      <c r="D7" t="s">
        <v>110</v>
      </c>
      <c r="E7" t="s">
        <v>107</v>
      </c>
      <c r="F7" t="s">
        <v>92</v>
      </c>
      <c r="G7">
        <v>705</v>
      </c>
      <c r="H7">
        <v>0</v>
      </c>
      <c r="I7" t="str">
        <f>OutputTable[[#This Row],[ProjectName]]&amp;OutputTable[[#This Row],[Name]]&amp;OutputTable[[#This Row],[Type]]&amp;OutputTable[[#This Row],[Source]]</f>
        <v>Unnamed Projectrchef.NumberSeizedTotal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680.6</v>
      </c>
      <c r="L7" cm="1">
        <f t="array" ref="L7">IFERROR(_xlfn.STDEV.S(IF((OutputTable[GroupByKey]=OutputTable[[#This Row],[GroupByKey]]),(OutputTable[GroupByKey]=OutputTable[[#This Row],[GroupByKey]])*OutputTable[RecordedValue])),0)</f>
        <v>24.37296410595857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7" cm="1">
        <f t="array" ref="O7">MIN(IF((OutputTable[GroupByKey]=OutputTable[[#This Row],[GroupByKey]]),(OutputTable[GroupByKey]=OutputTable[[#This Row],[GroupByKey]])*OutputTable[RecordedValue]))</f>
        <v>634</v>
      </c>
      <c r="P7" cm="1">
        <f t="array" ref="P7">MAX(IF((OutputTable[GroupByKey]=OutputTable[[#This Row],[GroupByKey]]),(OutputTable[GroupByKey]=OutputTable[[#This Row],[GroupByKey]])*OutputTable[RecordedValue]))</f>
        <v>731</v>
      </c>
    </row>
    <row r="8" spans="1:16">
      <c r="A8" t="s">
        <v>67</v>
      </c>
      <c r="B8" t="s">
        <v>70</v>
      </c>
      <c r="C8">
        <v>1</v>
      </c>
      <c r="D8" t="s">
        <v>111</v>
      </c>
      <c r="E8" t="s">
        <v>109</v>
      </c>
      <c r="F8" t="s">
        <v>92</v>
      </c>
      <c r="G8">
        <v>0.71184341420816899</v>
      </c>
      <c r="H8">
        <v>0</v>
      </c>
      <c r="I8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0.6819541161040038</v>
      </c>
      <c r="L8" cm="1">
        <f t="array" ref="L8">IFERROR(_xlfn.STDEV.S(IF((OutputTable[GroupByKey]=OutputTable[[#This Row],[GroupByKey]]),(OutputTable[GroupByKey]=OutputTable[[#This Row],[GroupByKey]])*OutputTable[RecordedValue])),0)</f>
        <v>2.5427627669908321E-2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8" cm="1">
        <f t="array" ref="O8">MIN(IF((OutputTable[GroupByKey]=OutputTable[[#This Row],[GroupByKey]]),(OutputTable[GroupByKey]=OutputTable[[#This Row],[GroupByKey]])*OutputTable[RecordedValue]))</f>
        <v>0.62568527922134098</v>
      </c>
      <c r="P8" cm="1">
        <f t="array" ref="P8">MAX(IF((OutputTable[GroupByKey]=OutputTable[[#This Row],[GroupByKey]]),(OutputTable[GroupByKey]=OutputTable[[#This Row],[GroupByKey]])*OutputTable[RecordedValue]))</f>
        <v>0.72090720879040104</v>
      </c>
    </row>
    <row r="9" spans="1:16">
      <c r="A9" t="s">
        <v>67</v>
      </c>
      <c r="B9" t="s">
        <v>70</v>
      </c>
      <c r="C9">
        <v>2</v>
      </c>
      <c r="D9" t="s">
        <v>100</v>
      </c>
      <c r="E9" t="s">
        <v>101</v>
      </c>
      <c r="F9" t="s">
        <v>73</v>
      </c>
      <c r="G9">
        <v>683</v>
      </c>
      <c r="H9">
        <v>0</v>
      </c>
      <c r="I9" t="str">
        <f>OutputTable[[#This Row],[ProjectName]]&amp;OutputTable[[#This Row],[Name]]&amp;OutputTable[[#This Row],[Type]]&amp;OutputTable[[#This Row],[Source]]</f>
        <v>Unnamed ProjectEntity 1.NumberInNumber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684.23333333333335</v>
      </c>
      <c r="L9" cm="1">
        <f t="array" ref="L9">IFERROR(_xlfn.STDEV.S(IF((OutputTable[GroupByKey]=OutputTable[[#This Row],[GroupByKey]]),(OutputTable[GroupByKey]=OutputTable[[#This Row],[GroupByKey]])*OutputTable[RecordedValue])),0)</f>
        <v>24.542269424520363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9" cm="1">
        <f t="array" ref="O9">MIN(IF((OutputTable[GroupByKey]=OutputTable[[#This Row],[GroupByKey]]),(OutputTable[GroupByKey]=OutputTable[[#This Row],[GroupByKey]])*OutputTable[RecordedValue]))</f>
        <v>639</v>
      </c>
      <c r="P9" cm="1">
        <f t="array" ref="P9">MAX(IF((OutputTable[GroupByKey]=OutputTable[[#This Row],[GroupByKey]]),(OutputTable[GroupByKey]=OutputTable[[#This Row],[GroupByKey]])*OutputTable[RecordedValue]))</f>
        <v>740</v>
      </c>
    </row>
    <row r="10" spans="1:16">
      <c r="A10" t="s">
        <v>67</v>
      </c>
      <c r="B10" t="s">
        <v>70</v>
      </c>
      <c r="C10">
        <v>2</v>
      </c>
      <c r="D10" t="s">
        <v>102</v>
      </c>
      <c r="E10" t="s">
        <v>103</v>
      </c>
      <c r="F10" t="s">
        <v>73</v>
      </c>
      <c r="G10">
        <v>679</v>
      </c>
      <c r="H10">
        <v>0</v>
      </c>
      <c r="I10" t="str">
        <f>OutputTable[[#This Row],[ProjectName]]&amp;OutputTable[[#This Row],[Name]]&amp;OutputTable[[#This Row],[Type]]&amp;OutputTable[[#This Row],[Source]]</f>
        <v>Unnamed ProjectEntity 1.NumberOutNumber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679.23333333333335</v>
      </c>
      <c r="L10" cm="1">
        <f t="array" ref="L10">IFERROR(_xlfn.STDEV.S(IF((OutputTable[GroupByKey]=OutputTable[[#This Row],[GroupByKey]]),(OutputTable[GroupByKey]=OutputTable[[#This Row],[GroupByKey]])*OutputTable[RecordedValue])),0)</f>
        <v>24.567547045158822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0" cm="1">
        <f t="array" ref="O10">MIN(IF((OutputTable[GroupByKey]=OutputTable[[#This Row],[GroupByKey]]),(OutputTable[GroupByKey]=OutputTable[[#This Row],[GroupByKey]])*OutputTable[RecordedValue]))</f>
        <v>632</v>
      </c>
      <c r="P10" cm="1">
        <f t="array" ref="P10">MAX(IF((OutputTable[GroupByKey]=OutputTable[[#This Row],[GroupByKey]]),(OutputTable[GroupByKey]=OutputTable[[#This Row],[GroupByKey]])*OutputTable[RecordedValue]))</f>
        <v>729</v>
      </c>
    </row>
    <row r="11" spans="1:16">
      <c r="A11" t="s">
        <v>67</v>
      </c>
      <c r="B11" t="s">
        <v>70</v>
      </c>
      <c r="C11">
        <v>2</v>
      </c>
      <c r="D11" t="s">
        <v>104</v>
      </c>
      <c r="E11" t="s">
        <v>103</v>
      </c>
      <c r="F11" t="s">
        <v>105</v>
      </c>
      <c r="G11">
        <v>679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679.23333333333335</v>
      </c>
      <c r="L11" cm="1">
        <f t="array" ref="L11">IFERROR(_xlfn.STDEV.S(IF((OutputTable[GroupByKey]=OutputTable[[#This Row],[GroupByKey]]),(OutputTable[GroupByKey]=OutputTable[[#This Row],[GroupByKey]])*OutputTable[RecordedValue])),0)</f>
        <v>24.567547045158822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1" cm="1">
        <f t="array" ref="O11">MIN(IF((OutputTable[GroupByKey]=OutputTable[[#This Row],[GroupByKey]]),(OutputTable[GroupByKey]=OutputTable[[#This Row],[GroupByKey]])*OutputTable[RecordedValue]))</f>
        <v>632</v>
      </c>
      <c r="P11" cm="1">
        <f t="array" ref="P11">MAX(IF((OutputTable[GroupByKey]=OutputTable[[#This Row],[GroupByKey]]),(OutputTable[GroupByKey]=OutputTable[[#This Row],[GroupByKey]])*OutputTable[RecordedValue]))</f>
        <v>729</v>
      </c>
    </row>
    <row r="12" spans="1:16">
      <c r="A12" t="s">
        <v>67</v>
      </c>
      <c r="B12" t="s">
        <v>70</v>
      </c>
      <c r="C12">
        <v>2</v>
      </c>
      <c r="D12" t="s">
        <v>106</v>
      </c>
      <c r="E12" t="s">
        <v>107</v>
      </c>
      <c r="F12" t="s">
        <v>92</v>
      </c>
      <c r="G12">
        <v>681</v>
      </c>
      <c r="H12">
        <v>0</v>
      </c>
      <c r="I12" t="str">
        <f>OutputTable[[#This Row],[ProjectName]]&amp;OutputTable[[#This Row],[Name]]&amp;OutputTable[[#This Row],[Type]]&amp;OutputTable[[#This Row],[Source]]</f>
        <v>Unnamed ProjectrCajero.NumberSeizedTotal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682.33333333333337</v>
      </c>
      <c r="L12" cm="1">
        <f t="array" ref="L12">IFERROR(_xlfn.STDEV.S(IF((OutputTable[GroupByKey]=OutputTable[[#This Row],[GroupByKey]]),(OutputTable[GroupByKey]=OutputTable[[#This Row],[GroupByKey]])*OutputTable[RecordedValue])),0)</f>
        <v>24.270506201238735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2" cm="1">
        <f t="array" ref="O12">MIN(IF((OutputTable[GroupByKey]=OutputTable[[#This Row],[GroupByKey]]),(OutputTable[GroupByKey]=OutputTable[[#This Row],[GroupByKey]])*OutputTable[RecordedValue]))</f>
        <v>636</v>
      </c>
      <c r="P12" cm="1">
        <f t="array" ref="P12">MAX(IF((OutputTable[GroupByKey]=OutputTable[[#This Row],[GroupByKey]]),(OutputTable[GroupByKey]=OutputTable[[#This Row],[GroupByKey]])*OutputTable[RecordedValue]))</f>
        <v>733</v>
      </c>
    </row>
    <row r="13" spans="1:16">
      <c r="A13" t="s">
        <v>67</v>
      </c>
      <c r="B13" t="s">
        <v>70</v>
      </c>
      <c r="C13">
        <v>2</v>
      </c>
      <c r="D13" t="s">
        <v>108</v>
      </c>
      <c r="E13" t="s">
        <v>109</v>
      </c>
      <c r="F13" t="s">
        <v>92</v>
      </c>
      <c r="G13">
        <v>0.85317971533620895</v>
      </c>
      <c r="H13">
        <v>0</v>
      </c>
      <c r="I13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0.85304256406630496</v>
      </c>
      <c r="L13" cm="1">
        <f t="array" ref="L13">IFERROR(_xlfn.STDEV.S(IF((OutputTable[GroupByKey]=OutputTable[[#This Row],[GroupByKey]]),(OutputTable[GroupByKey]=OutputTable[[#This Row],[GroupByKey]])*OutputTable[RecordedValue])),0)</f>
        <v>2.975273171257193E-2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3" cm="1">
        <f t="array" ref="O13">MIN(IF((OutputTable[GroupByKey]=OutputTable[[#This Row],[GroupByKey]]),(OutputTable[GroupByKey]=OutputTable[[#This Row],[GroupByKey]])*OutputTable[RecordedValue]))</f>
        <v>0.79563957753275305</v>
      </c>
      <c r="P13" cm="1">
        <f t="array" ref="P13">MAX(IF((OutputTable[GroupByKey]=OutputTable[[#This Row],[GroupByKey]]),(OutputTable[GroupByKey]=OutputTable[[#This Row],[GroupByKey]])*OutputTable[RecordedValue]))</f>
        <v>0.91388224334429202</v>
      </c>
    </row>
    <row r="14" spans="1:16">
      <c r="A14" t="s">
        <v>67</v>
      </c>
      <c r="B14" t="s">
        <v>70</v>
      </c>
      <c r="C14">
        <v>2</v>
      </c>
      <c r="D14" t="s">
        <v>110</v>
      </c>
      <c r="E14" t="s">
        <v>107</v>
      </c>
      <c r="F14" t="s">
        <v>92</v>
      </c>
      <c r="G14">
        <v>679</v>
      </c>
      <c r="H14">
        <v>0</v>
      </c>
      <c r="I14" t="str">
        <f>OutputTable[[#This Row],[ProjectName]]&amp;OutputTable[[#This Row],[Name]]&amp;OutputTable[[#This Row],[Type]]&amp;OutputTable[[#This Row],[Source]]</f>
        <v>Unnamed Projectrchef.NumberSeizedTotal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680.6</v>
      </c>
      <c r="L14" cm="1">
        <f t="array" ref="L14">IFERROR(_xlfn.STDEV.S(IF((OutputTable[GroupByKey]=OutputTable[[#This Row],[GroupByKey]]),(OutputTable[GroupByKey]=OutputTable[[#This Row],[GroupByKey]])*OutputTable[RecordedValue])),0)</f>
        <v>24.37296410595857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4" cm="1">
        <f t="array" ref="O14">MIN(IF((OutputTable[GroupByKey]=OutputTable[[#This Row],[GroupByKey]]),(OutputTable[GroupByKey]=OutputTable[[#This Row],[GroupByKey]])*OutputTable[RecordedValue]))</f>
        <v>634</v>
      </c>
      <c r="P14" cm="1">
        <f t="array" ref="P14">MAX(IF((OutputTable[GroupByKey]=OutputTable[[#This Row],[GroupByKey]]),(OutputTable[GroupByKey]=OutputTable[[#This Row],[GroupByKey]])*OutputTable[RecordedValue]))</f>
        <v>731</v>
      </c>
    </row>
    <row r="15" spans="1:16">
      <c r="A15" t="s">
        <v>67</v>
      </c>
      <c r="B15" t="s">
        <v>70</v>
      </c>
      <c r="C15">
        <v>2</v>
      </c>
      <c r="D15" t="s">
        <v>111</v>
      </c>
      <c r="E15" t="s">
        <v>109</v>
      </c>
      <c r="F15" t="s">
        <v>92</v>
      </c>
      <c r="G15">
        <v>0.69371433806046501</v>
      </c>
      <c r="H15">
        <v>0</v>
      </c>
      <c r="I1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0.6819541161040038</v>
      </c>
      <c r="L15" cm="1">
        <f t="array" ref="L15">IFERROR(_xlfn.STDEV.S(IF((OutputTable[GroupByKey]=OutputTable[[#This Row],[GroupByKey]]),(OutputTable[GroupByKey]=OutputTable[[#This Row],[GroupByKey]])*OutputTable[RecordedValue])),0)</f>
        <v>2.5427627669908321E-2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5" cm="1">
        <f t="array" ref="O15">MIN(IF((OutputTable[GroupByKey]=OutputTable[[#This Row],[GroupByKey]]),(OutputTable[GroupByKey]=OutputTable[[#This Row],[GroupByKey]])*OutputTable[RecordedValue]))</f>
        <v>0.62568527922134098</v>
      </c>
      <c r="P15" cm="1">
        <f t="array" ref="P15">MAX(IF((OutputTable[GroupByKey]=OutputTable[[#This Row],[GroupByKey]]),(OutputTable[GroupByKey]=OutputTable[[#This Row],[GroupByKey]])*OutputTable[RecordedValue]))</f>
        <v>0.72090720879040104</v>
      </c>
    </row>
    <row r="16" spans="1:16">
      <c r="A16" t="s">
        <v>67</v>
      </c>
      <c r="B16" t="s">
        <v>70</v>
      </c>
      <c r="C16">
        <v>3</v>
      </c>
      <c r="D16" t="s">
        <v>100</v>
      </c>
      <c r="E16" t="s">
        <v>101</v>
      </c>
      <c r="F16" t="s">
        <v>73</v>
      </c>
      <c r="G16">
        <v>667</v>
      </c>
      <c r="H16">
        <v>0</v>
      </c>
      <c r="I16" t="str">
        <f>OutputTable[[#This Row],[ProjectName]]&amp;OutputTable[[#This Row],[Name]]&amp;OutputTable[[#This Row],[Type]]&amp;OutputTable[[#This Row],[Source]]</f>
        <v>Unnamed ProjectEntity 1.NumberInNumber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684.23333333333335</v>
      </c>
      <c r="L16" cm="1">
        <f t="array" ref="L16">IFERROR(_xlfn.STDEV.S(IF((OutputTable[GroupByKey]=OutputTable[[#This Row],[GroupByKey]]),(OutputTable[GroupByKey]=OutputTable[[#This Row],[GroupByKey]])*OutputTable[RecordedValue])),0)</f>
        <v>24.542269424520363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6" cm="1">
        <f t="array" ref="O16">MIN(IF((OutputTable[GroupByKey]=OutputTable[[#This Row],[GroupByKey]]),(OutputTable[GroupByKey]=OutputTable[[#This Row],[GroupByKey]])*OutputTable[RecordedValue]))</f>
        <v>639</v>
      </c>
      <c r="P16" cm="1">
        <f t="array" ref="P16">MAX(IF((OutputTable[GroupByKey]=OutputTable[[#This Row],[GroupByKey]]),(OutputTable[GroupByKey]=OutputTable[[#This Row],[GroupByKey]])*OutputTable[RecordedValue]))</f>
        <v>740</v>
      </c>
    </row>
    <row r="17" spans="1:16">
      <c r="A17" t="s">
        <v>67</v>
      </c>
      <c r="B17" t="s">
        <v>70</v>
      </c>
      <c r="C17">
        <v>3</v>
      </c>
      <c r="D17" t="s">
        <v>102</v>
      </c>
      <c r="E17" t="s">
        <v>103</v>
      </c>
      <c r="F17" t="s">
        <v>73</v>
      </c>
      <c r="G17">
        <v>659</v>
      </c>
      <c r="H17">
        <v>0</v>
      </c>
      <c r="I17" t="str">
        <f>OutputTable[[#This Row],[ProjectName]]&amp;OutputTable[[#This Row],[Name]]&amp;OutputTable[[#This Row],[Type]]&amp;OutputTable[[#This Row],[Source]]</f>
        <v>Unnamed ProjectEntity 1.NumberOutNumber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679.23333333333335</v>
      </c>
      <c r="L17" cm="1">
        <f t="array" ref="L17">IFERROR(_xlfn.STDEV.S(IF((OutputTable[GroupByKey]=OutputTable[[#This Row],[GroupByKey]]),(OutputTable[GroupByKey]=OutputTable[[#This Row],[GroupByKey]])*OutputTable[RecordedValue])),0)</f>
        <v>24.567547045158822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7" cm="1">
        <f t="array" ref="O17">MIN(IF((OutputTable[GroupByKey]=OutputTable[[#This Row],[GroupByKey]]),(OutputTable[GroupByKey]=OutputTable[[#This Row],[GroupByKey]])*OutputTable[RecordedValue]))</f>
        <v>632</v>
      </c>
      <c r="P17" cm="1">
        <f t="array" ref="P17">MAX(IF((OutputTable[GroupByKey]=OutputTable[[#This Row],[GroupByKey]]),(OutputTable[GroupByKey]=OutputTable[[#This Row],[GroupByKey]])*OutputTable[RecordedValue]))</f>
        <v>729</v>
      </c>
    </row>
    <row r="18" spans="1:16">
      <c r="A18" t="s">
        <v>67</v>
      </c>
      <c r="B18" t="s">
        <v>70</v>
      </c>
      <c r="C18">
        <v>3</v>
      </c>
      <c r="D18" t="s">
        <v>104</v>
      </c>
      <c r="E18" t="s">
        <v>103</v>
      </c>
      <c r="F18" t="s">
        <v>105</v>
      </c>
      <c r="G18">
        <v>659</v>
      </c>
      <c r="H18">
        <v>0</v>
      </c>
      <c r="I18" t="str">
        <f>OutputTable[[#This Row],[ProjectName]]&amp;OutputTable[[#This Row],[Name]]&amp;OutputTable[[#This Row],[Type]]&amp;OutputTable[[#This Row],[Source]]</f>
        <v>Unnamed ProjectSystem.NumberOutNumber OutSystem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679.23333333333335</v>
      </c>
      <c r="L18" cm="1">
        <f t="array" ref="L18">IFERROR(_xlfn.STDEV.S(IF((OutputTable[GroupByKey]=OutputTable[[#This Row],[GroupByKey]]),(OutputTable[GroupByKey]=OutputTable[[#This Row],[GroupByKey]])*OutputTable[RecordedValue])),0)</f>
        <v>24.567547045158822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8" cm="1">
        <f t="array" ref="O18">MIN(IF((OutputTable[GroupByKey]=OutputTable[[#This Row],[GroupByKey]]),(OutputTable[GroupByKey]=OutputTable[[#This Row],[GroupByKey]])*OutputTable[RecordedValue]))</f>
        <v>632</v>
      </c>
      <c r="P18" cm="1">
        <f t="array" ref="P18">MAX(IF((OutputTable[GroupByKey]=OutputTable[[#This Row],[GroupByKey]]),(OutputTable[GroupByKey]=OutputTable[[#This Row],[GroupByKey]])*OutputTable[RecordedValue]))</f>
        <v>729</v>
      </c>
    </row>
    <row r="19" spans="1:16">
      <c r="A19" t="s">
        <v>67</v>
      </c>
      <c r="B19" t="s">
        <v>70</v>
      </c>
      <c r="C19">
        <v>3</v>
      </c>
      <c r="D19" t="s">
        <v>106</v>
      </c>
      <c r="E19" t="s">
        <v>107</v>
      </c>
      <c r="F19" t="s">
        <v>92</v>
      </c>
      <c r="G19">
        <v>663</v>
      </c>
      <c r="H19">
        <v>0</v>
      </c>
      <c r="I19" t="str">
        <f>OutputTable[[#This Row],[ProjectName]]&amp;OutputTable[[#This Row],[Name]]&amp;OutputTable[[#This Row],[Type]]&amp;OutputTable[[#This Row],[Source]]</f>
        <v>Unnamed ProjectrCajero.NumberSeizedTotal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682.33333333333337</v>
      </c>
      <c r="L19" cm="1">
        <f t="array" ref="L19">IFERROR(_xlfn.STDEV.S(IF((OutputTable[GroupByKey]=OutputTable[[#This Row],[GroupByKey]]),(OutputTable[GroupByKey]=OutputTable[[#This Row],[GroupByKey]])*OutputTable[RecordedValue])),0)</f>
        <v>24.270506201238735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9" cm="1">
        <f t="array" ref="O19">MIN(IF((OutputTable[GroupByKey]=OutputTable[[#This Row],[GroupByKey]]),(OutputTable[GroupByKey]=OutputTable[[#This Row],[GroupByKey]])*OutputTable[RecordedValue]))</f>
        <v>636</v>
      </c>
      <c r="P19" cm="1">
        <f t="array" ref="P19">MAX(IF((OutputTable[GroupByKey]=OutputTable[[#This Row],[GroupByKey]]),(OutputTable[GroupByKey]=OutputTable[[#This Row],[GroupByKey]])*OutputTable[RecordedValue]))</f>
        <v>733</v>
      </c>
    </row>
    <row r="20" spans="1:16">
      <c r="A20" t="s">
        <v>67</v>
      </c>
      <c r="B20" t="s">
        <v>70</v>
      </c>
      <c r="C20">
        <v>3</v>
      </c>
      <c r="D20" t="s">
        <v>108</v>
      </c>
      <c r="E20" t="s">
        <v>109</v>
      </c>
      <c r="F20" t="s">
        <v>92</v>
      </c>
      <c r="G20">
        <v>0.83986710966508504</v>
      </c>
      <c r="H20">
        <v>0</v>
      </c>
      <c r="I20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0.85304256406630496</v>
      </c>
      <c r="L20" cm="1">
        <f t="array" ref="L20">IFERROR(_xlfn.STDEV.S(IF((OutputTable[GroupByKey]=OutputTable[[#This Row],[GroupByKey]]),(OutputTable[GroupByKey]=OutputTable[[#This Row],[GroupByKey]])*OutputTable[RecordedValue])),0)</f>
        <v>2.975273171257193E-2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20" cm="1">
        <f t="array" ref="O20">MIN(IF((OutputTable[GroupByKey]=OutputTable[[#This Row],[GroupByKey]]),(OutputTable[GroupByKey]=OutputTable[[#This Row],[GroupByKey]])*OutputTable[RecordedValue]))</f>
        <v>0.79563957753275305</v>
      </c>
      <c r="P20" cm="1">
        <f t="array" ref="P20">MAX(IF((OutputTable[GroupByKey]=OutputTable[[#This Row],[GroupByKey]]),(OutputTable[GroupByKey]=OutputTable[[#This Row],[GroupByKey]])*OutputTable[RecordedValue]))</f>
        <v>0.91388224334429202</v>
      </c>
    </row>
    <row r="21" spans="1:16">
      <c r="A21" t="s">
        <v>67</v>
      </c>
      <c r="B21" t="s">
        <v>70</v>
      </c>
      <c r="C21">
        <v>3</v>
      </c>
      <c r="D21" t="s">
        <v>110</v>
      </c>
      <c r="E21" t="s">
        <v>107</v>
      </c>
      <c r="F21" t="s">
        <v>92</v>
      </c>
      <c r="G21">
        <v>661</v>
      </c>
      <c r="H21">
        <v>0</v>
      </c>
      <c r="I21" t="str">
        <f>OutputTable[[#This Row],[ProjectName]]&amp;OutputTable[[#This Row],[Name]]&amp;OutputTable[[#This Row],[Type]]&amp;OutputTable[[#This Row],[Source]]</f>
        <v>Unnamed Projectrchef.NumberSeizedTotal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680.6</v>
      </c>
      <c r="L21" cm="1">
        <f t="array" ref="L21">IFERROR(_xlfn.STDEV.S(IF((OutputTable[GroupByKey]=OutputTable[[#This Row],[GroupByKey]]),(OutputTable[GroupByKey]=OutputTable[[#This Row],[GroupByKey]])*OutputTable[RecordedValue])),0)</f>
        <v>24.37296410595857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21" cm="1">
        <f t="array" ref="O21">MIN(IF((OutputTable[GroupByKey]=OutputTable[[#This Row],[GroupByKey]]),(OutputTable[GroupByKey]=OutputTable[[#This Row],[GroupByKey]])*OutputTable[RecordedValue]))</f>
        <v>634</v>
      </c>
      <c r="P21" cm="1">
        <f t="array" ref="P21">MAX(IF((OutputTable[GroupByKey]=OutputTable[[#This Row],[GroupByKey]]),(OutputTable[GroupByKey]=OutputTable[[#This Row],[GroupByKey]])*OutputTable[RecordedValue]))</f>
        <v>731</v>
      </c>
    </row>
    <row r="22" spans="1:16">
      <c r="A22" t="s">
        <v>67</v>
      </c>
      <c r="B22" t="s">
        <v>70</v>
      </c>
      <c r="C22">
        <v>3</v>
      </c>
      <c r="D22" t="s">
        <v>111</v>
      </c>
      <c r="E22" t="s">
        <v>109</v>
      </c>
      <c r="F22" t="s">
        <v>92</v>
      </c>
      <c r="G22">
        <v>0.67669309573383496</v>
      </c>
      <c r="H22">
        <v>0</v>
      </c>
      <c r="I22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0.6819541161040038</v>
      </c>
      <c r="L22" cm="1">
        <f t="array" ref="L22">IFERROR(_xlfn.STDEV.S(IF((OutputTable[GroupByKey]=OutputTable[[#This Row],[GroupByKey]]),(OutputTable[GroupByKey]=OutputTable[[#This Row],[GroupByKey]])*OutputTable[RecordedValue])),0)</f>
        <v>2.5427627669908321E-2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22" cm="1">
        <f t="array" ref="O22">MIN(IF((OutputTable[GroupByKey]=OutputTable[[#This Row],[GroupByKey]]),(OutputTable[GroupByKey]=OutputTable[[#This Row],[GroupByKey]])*OutputTable[RecordedValue]))</f>
        <v>0.62568527922134098</v>
      </c>
      <c r="P22" cm="1">
        <f t="array" ref="P22">MAX(IF((OutputTable[GroupByKey]=OutputTable[[#This Row],[GroupByKey]]),(OutputTable[GroupByKey]=OutputTable[[#This Row],[GroupByKey]])*OutputTable[RecordedValue]))</f>
        <v>0.72090720879040104</v>
      </c>
    </row>
    <row r="23" spans="1:16">
      <c r="A23" t="s">
        <v>67</v>
      </c>
      <c r="B23" t="s">
        <v>70</v>
      </c>
      <c r="C23">
        <v>4</v>
      </c>
      <c r="D23" t="s">
        <v>100</v>
      </c>
      <c r="E23" t="s">
        <v>101</v>
      </c>
      <c r="F23" t="s">
        <v>73</v>
      </c>
      <c r="G23">
        <v>702</v>
      </c>
      <c r="H23">
        <v>0</v>
      </c>
      <c r="I23" t="str">
        <f>OutputTable[[#This Row],[ProjectName]]&amp;OutputTable[[#This Row],[Name]]&amp;OutputTable[[#This Row],[Type]]&amp;OutputTable[[#This Row],[Source]]</f>
        <v>Unnamed ProjectEntity 1.NumberInNumber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684.23333333333335</v>
      </c>
      <c r="L23" cm="1">
        <f t="array" ref="L23">IFERROR(_xlfn.STDEV.S(IF((OutputTable[GroupByKey]=OutputTable[[#This Row],[GroupByKey]]),(OutputTable[GroupByKey]=OutputTable[[#This Row],[GroupByKey]])*OutputTable[RecordedValue])),0)</f>
        <v>24.542269424520363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23" cm="1">
        <f t="array" ref="O23">MIN(IF((OutputTable[GroupByKey]=OutputTable[[#This Row],[GroupByKey]]),(OutputTable[GroupByKey]=OutputTable[[#This Row],[GroupByKey]])*OutputTable[RecordedValue]))</f>
        <v>639</v>
      </c>
      <c r="P23" cm="1">
        <f t="array" ref="P23">MAX(IF((OutputTable[GroupByKey]=OutputTable[[#This Row],[GroupByKey]]),(OutputTable[GroupByKey]=OutputTable[[#This Row],[GroupByKey]])*OutputTable[RecordedValue]))</f>
        <v>740</v>
      </c>
    </row>
    <row r="24" spans="1:16">
      <c r="A24" t="s">
        <v>67</v>
      </c>
      <c r="B24" t="s">
        <v>70</v>
      </c>
      <c r="C24">
        <v>4</v>
      </c>
      <c r="D24" t="s">
        <v>102</v>
      </c>
      <c r="E24" t="s">
        <v>103</v>
      </c>
      <c r="F24" t="s">
        <v>73</v>
      </c>
      <c r="G24">
        <v>696</v>
      </c>
      <c r="H24">
        <v>0</v>
      </c>
      <c r="I24" t="str">
        <f>OutputTable[[#This Row],[ProjectName]]&amp;OutputTable[[#This Row],[Name]]&amp;OutputTable[[#This Row],[Type]]&amp;OutputTable[[#This Row],[Source]]</f>
        <v>Unnamed ProjectEntity 1.NumberOutNumber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679.23333333333335</v>
      </c>
      <c r="L24" cm="1">
        <f t="array" ref="L24">IFERROR(_xlfn.STDEV.S(IF((OutputTable[GroupByKey]=OutputTable[[#This Row],[GroupByKey]]),(OutputTable[GroupByKey]=OutputTable[[#This Row],[GroupByKey]])*OutputTable[RecordedValue])),0)</f>
        <v>24.567547045158822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24" cm="1">
        <f t="array" ref="O24">MIN(IF((OutputTable[GroupByKey]=OutputTable[[#This Row],[GroupByKey]]),(OutputTable[GroupByKey]=OutputTable[[#This Row],[GroupByKey]])*OutputTable[RecordedValue]))</f>
        <v>632</v>
      </c>
      <c r="P24" cm="1">
        <f t="array" ref="P24">MAX(IF((OutputTable[GroupByKey]=OutputTable[[#This Row],[GroupByKey]]),(OutputTable[GroupByKey]=OutputTable[[#This Row],[GroupByKey]])*OutputTable[RecordedValue]))</f>
        <v>729</v>
      </c>
    </row>
    <row r="25" spans="1:16">
      <c r="A25" t="s">
        <v>67</v>
      </c>
      <c r="B25" t="s">
        <v>70</v>
      </c>
      <c r="C25">
        <v>4</v>
      </c>
      <c r="D25" t="s">
        <v>104</v>
      </c>
      <c r="E25" t="s">
        <v>103</v>
      </c>
      <c r="F25" t="s">
        <v>105</v>
      </c>
      <c r="G25">
        <v>696</v>
      </c>
      <c r="H25">
        <v>0</v>
      </c>
      <c r="I25" t="str">
        <f>OutputTable[[#This Row],[ProjectName]]&amp;OutputTable[[#This Row],[Name]]&amp;OutputTable[[#This Row],[Type]]&amp;OutputTable[[#This Row],[Source]]</f>
        <v>Unnamed ProjectSystem.NumberOutNumber OutSystem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679.23333333333335</v>
      </c>
      <c r="L25" cm="1">
        <f t="array" ref="L25">IFERROR(_xlfn.STDEV.S(IF((OutputTable[GroupByKey]=OutputTable[[#This Row],[GroupByKey]]),(OutputTable[GroupByKey]=OutputTable[[#This Row],[GroupByKey]])*OutputTable[RecordedValue])),0)</f>
        <v>24.567547045158822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25" cm="1">
        <f t="array" ref="O25">MIN(IF((OutputTable[GroupByKey]=OutputTable[[#This Row],[GroupByKey]]),(OutputTable[GroupByKey]=OutputTable[[#This Row],[GroupByKey]])*OutputTable[RecordedValue]))</f>
        <v>632</v>
      </c>
      <c r="P25" cm="1">
        <f t="array" ref="P25">MAX(IF((OutputTable[GroupByKey]=OutputTable[[#This Row],[GroupByKey]]),(OutputTable[GroupByKey]=OutputTable[[#This Row],[GroupByKey]])*OutputTable[RecordedValue]))</f>
        <v>729</v>
      </c>
    </row>
    <row r="26" spans="1:16">
      <c r="A26" t="s">
        <v>67</v>
      </c>
      <c r="B26" t="s">
        <v>70</v>
      </c>
      <c r="C26">
        <v>4</v>
      </c>
      <c r="D26" t="s">
        <v>106</v>
      </c>
      <c r="E26" t="s">
        <v>107</v>
      </c>
      <c r="F26" t="s">
        <v>92</v>
      </c>
      <c r="G26">
        <v>701</v>
      </c>
      <c r="H26">
        <v>0</v>
      </c>
      <c r="I26" t="str">
        <f>OutputTable[[#This Row],[ProjectName]]&amp;OutputTable[[#This Row],[Name]]&amp;OutputTable[[#This Row],[Type]]&amp;OutputTable[[#This Row],[Source]]</f>
        <v>Unnamed ProjectrCajero.NumberSeizedTotal Number SeizedResource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682.33333333333337</v>
      </c>
      <c r="L26" cm="1">
        <f t="array" ref="L26">IFERROR(_xlfn.STDEV.S(IF((OutputTable[GroupByKey]=OutputTable[[#This Row],[GroupByKey]]),(OutputTable[GroupByKey]=OutputTable[[#This Row],[GroupByKey]])*OutputTable[RecordedValue])),0)</f>
        <v>24.270506201238735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26" cm="1">
        <f t="array" ref="O26">MIN(IF((OutputTable[GroupByKey]=OutputTable[[#This Row],[GroupByKey]]),(OutputTable[GroupByKey]=OutputTable[[#This Row],[GroupByKey]])*OutputTable[RecordedValue]))</f>
        <v>636</v>
      </c>
      <c r="P26" cm="1">
        <f t="array" ref="P26">MAX(IF((OutputTable[GroupByKey]=OutputTable[[#This Row],[GroupByKey]]),(OutputTable[GroupByKey]=OutputTable[[#This Row],[GroupByKey]])*OutputTable[RecordedValue]))</f>
        <v>733</v>
      </c>
    </row>
    <row r="27" spans="1:16">
      <c r="A27" t="s">
        <v>67</v>
      </c>
      <c r="B27" t="s">
        <v>70</v>
      </c>
      <c r="C27">
        <v>4</v>
      </c>
      <c r="D27" t="s">
        <v>108</v>
      </c>
      <c r="E27" t="s">
        <v>109</v>
      </c>
      <c r="F27" t="s">
        <v>92</v>
      </c>
      <c r="G27">
        <v>0.87469053136530295</v>
      </c>
      <c r="H27">
        <v>0</v>
      </c>
      <c r="I27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0.85304256406630496</v>
      </c>
      <c r="L27" cm="1">
        <f t="array" ref="L27">IFERROR(_xlfn.STDEV.S(IF((OutputTable[GroupByKey]=OutputTable[[#This Row],[GroupByKey]]),(OutputTable[GroupByKey]=OutputTable[[#This Row],[GroupByKey]])*OutputTable[RecordedValue])),0)</f>
        <v>2.975273171257193E-2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27" cm="1">
        <f t="array" ref="O27">MIN(IF((OutputTable[GroupByKey]=OutputTable[[#This Row],[GroupByKey]]),(OutputTable[GroupByKey]=OutputTable[[#This Row],[GroupByKey]])*OutputTable[RecordedValue]))</f>
        <v>0.79563957753275305</v>
      </c>
      <c r="P27" cm="1">
        <f t="array" ref="P27">MAX(IF((OutputTable[GroupByKey]=OutputTable[[#This Row],[GroupByKey]]),(OutputTable[GroupByKey]=OutputTable[[#This Row],[GroupByKey]])*OutputTable[RecordedValue]))</f>
        <v>0.91388224334429202</v>
      </c>
    </row>
    <row r="28" spans="1:16">
      <c r="A28" t="s">
        <v>67</v>
      </c>
      <c r="B28" t="s">
        <v>70</v>
      </c>
      <c r="C28">
        <v>4</v>
      </c>
      <c r="D28" t="s">
        <v>110</v>
      </c>
      <c r="E28" t="s">
        <v>107</v>
      </c>
      <c r="F28" t="s">
        <v>92</v>
      </c>
      <c r="G28">
        <v>698</v>
      </c>
      <c r="H28">
        <v>0</v>
      </c>
      <c r="I28" t="str">
        <f>OutputTable[[#This Row],[ProjectName]]&amp;OutputTable[[#This Row],[Name]]&amp;OutputTable[[#This Row],[Type]]&amp;OutputTable[[#This Row],[Source]]</f>
        <v>Unnamed Projectrchef.NumberSeizedTotal Number SeizedResource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680.6</v>
      </c>
      <c r="L28" cm="1">
        <f t="array" ref="L28">IFERROR(_xlfn.STDEV.S(IF((OutputTable[GroupByKey]=OutputTable[[#This Row],[GroupByKey]]),(OutputTable[GroupByKey]=OutputTable[[#This Row],[GroupByKey]])*OutputTable[RecordedValue])),0)</f>
        <v>24.37296410595857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28" cm="1">
        <f t="array" ref="O28">MIN(IF((OutputTable[GroupByKey]=OutputTable[[#This Row],[GroupByKey]]),(OutputTable[GroupByKey]=OutputTable[[#This Row],[GroupByKey]])*OutputTable[RecordedValue]))</f>
        <v>634</v>
      </c>
      <c r="P28" cm="1">
        <f t="array" ref="P28">MAX(IF((OutputTable[GroupByKey]=OutputTable[[#This Row],[GroupByKey]]),(OutputTable[GroupByKey]=OutputTable[[#This Row],[GroupByKey]])*OutputTable[RecordedValue]))</f>
        <v>731</v>
      </c>
    </row>
    <row r="29" spans="1:16">
      <c r="A29" t="s">
        <v>67</v>
      </c>
      <c r="B29" t="s">
        <v>70</v>
      </c>
      <c r="C29">
        <v>4</v>
      </c>
      <c r="D29" t="s">
        <v>111</v>
      </c>
      <c r="E29" t="s">
        <v>109</v>
      </c>
      <c r="F29" t="s">
        <v>92</v>
      </c>
      <c r="G29">
        <v>0.70766928831208498</v>
      </c>
      <c r="H29">
        <v>0</v>
      </c>
      <c r="I29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0.6819541161040038</v>
      </c>
      <c r="L29" cm="1">
        <f t="array" ref="L29">IFERROR(_xlfn.STDEV.S(IF((OutputTable[GroupByKey]=OutputTable[[#This Row],[GroupByKey]]),(OutputTable[GroupByKey]=OutputTable[[#This Row],[GroupByKey]])*OutputTable[RecordedValue])),0)</f>
        <v>2.5427627669908321E-2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29" cm="1">
        <f t="array" ref="O29">MIN(IF((OutputTable[GroupByKey]=OutputTable[[#This Row],[GroupByKey]]),(OutputTable[GroupByKey]=OutputTable[[#This Row],[GroupByKey]])*OutputTable[RecordedValue]))</f>
        <v>0.62568527922134098</v>
      </c>
      <c r="P29" cm="1">
        <f t="array" ref="P29">MAX(IF((OutputTable[GroupByKey]=OutputTable[[#This Row],[GroupByKey]]),(OutputTable[GroupByKey]=OutputTable[[#This Row],[GroupByKey]])*OutputTable[RecordedValue]))</f>
        <v>0.72090720879040104</v>
      </c>
    </row>
    <row r="30" spans="1:16">
      <c r="A30" t="s">
        <v>67</v>
      </c>
      <c r="B30" t="s">
        <v>70</v>
      </c>
      <c r="C30">
        <v>5</v>
      </c>
      <c r="D30" t="s">
        <v>100</v>
      </c>
      <c r="E30" t="s">
        <v>101</v>
      </c>
      <c r="F30" t="s">
        <v>73</v>
      </c>
      <c r="G30">
        <v>709</v>
      </c>
      <c r="H30">
        <v>0</v>
      </c>
      <c r="I30" t="str">
        <f>OutputTable[[#This Row],[ProjectName]]&amp;OutputTable[[#This Row],[Name]]&amp;OutputTable[[#This Row],[Type]]&amp;OutputTable[[#This Row],[Source]]</f>
        <v>Unnamed ProjectEntity 1.NumberInNumber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684.23333333333335</v>
      </c>
      <c r="L30" cm="1">
        <f t="array" ref="L30">IFERROR(_xlfn.STDEV.S(IF((OutputTable[GroupByKey]=OutputTable[[#This Row],[GroupByKey]]),(OutputTable[GroupByKey]=OutputTable[[#This Row],[GroupByKey]])*OutputTable[RecordedValue])),0)</f>
        <v>24.542269424520363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30" cm="1">
        <f t="array" ref="O30">MIN(IF((OutputTable[GroupByKey]=OutputTable[[#This Row],[GroupByKey]]),(OutputTable[GroupByKey]=OutputTable[[#This Row],[GroupByKey]])*OutputTable[RecordedValue]))</f>
        <v>639</v>
      </c>
      <c r="P30" cm="1">
        <f t="array" ref="P30">MAX(IF((OutputTable[GroupByKey]=OutputTable[[#This Row],[GroupByKey]]),(OutputTable[GroupByKey]=OutputTable[[#This Row],[GroupByKey]])*OutputTable[RecordedValue]))</f>
        <v>740</v>
      </c>
    </row>
    <row r="31" spans="1:16">
      <c r="A31" t="s">
        <v>67</v>
      </c>
      <c r="B31" t="s">
        <v>70</v>
      </c>
      <c r="C31">
        <v>5</v>
      </c>
      <c r="D31" t="s">
        <v>102</v>
      </c>
      <c r="E31" t="s">
        <v>103</v>
      </c>
      <c r="F31" t="s">
        <v>73</v>
      </c>
      <c r="G31">
        <v>701</v>
      </c>
      <c r="H31">
        <v>0</v>
      </c>
      <c r="I31" t="str">
        <f>OutputTable[[#This Row],[ProjectName]]&amp;OutputTable[[#This Row],[Name]]&amp;OutputTable[[#This Row],[Type]]&amp;OutputTable[[#This Row],[Source]]</f>
        <v>Unnamed ProjectEntity 1.NumberOutNumber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679.23333333333335</v>
      </c>
      <c r="L31" cm="1">
        <f t="array" ref="L31">IFERROR(_xlfn.STDEV.S(IF((OutputTable[GroupByKey]=OutputTable[[#This Row],[GroupByKey]]),(OutputTable[GroupByKey]=OutputTable[[#This Row],[GroupByKey]])*OutputTable[RecordedValue])),0)</f>
        <v>24.567547045158822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31" cm="1">
        <f t="array" ref="O31">MIN(IF((OutputTable[GroupByKey]=OutputTable[[#This Row],[GroupByKey]]),(OutputTable[GroupByKey]=OutputTable[[#This Row],[GroupByKey]])*OutputTable[RecordedValue]))</f>
        <v>632</v>
      </c>
      <c r="P31" cm="1">
        <f t="array" ref="P31">MAX(IF((OutputTable[GroupByKey]=OutputTable[[#This Row],[GroupByKey]]),(OutputTable[GroupByKey]=OutputTable[[#This Row],[GroupByKey]])*OutputTable[RecordedValue]))</f>
        <v>729</v>
      </c>
    </row>
    <row r="32" spans="1:16">
      <c r="A32" t="s">
        <v>67</v>
      </c>
      <c r="B32" t="s">
        <v>70</v>
      </c>
      <c r="C32">
        <v>5</v>
      </c>
      <c r="D32" t="s">
        <v>104</v>
      </c>
      <c r="E32" t="s">
        <v>103</v>
      </c>
      <c r="F32" t="s">
        <v>105</v>
      </c>
      <c r="G32">
        <v>701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ProjectSystem.NumberOutNumber OutSystem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s="5" cm="1">
        <f t="array" ref="K32">IFERROR(AVERAGE(IF((OutputTable[GroupByKey]=OutputTable[[#This Row],[GroupByKey]]),(OutputTable[GroupByKey]=OutputTable[[#This Row],[GroupByKey]])*OutputTable[RecordedValue])),0)</f>
        <v>679.23333333333335</v>
      </c>
      <c r="L32" s="5" cm="1">
        <f t="array" ref="L32">IFERROR(_xlfn.STDEV.S(IF((OutputTable[GroupByKey]=OutputTable[[#This Row],[GroupByKey]]),(OutputTable[GroupByKey]=OutputTable[[#This Row],[GroupByKey]])*OutputTable[RecordedValue])),0)</f>
        <v>24.567547045158822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32" s="5" cm="1">
        <f t="array" ref="O32">MIN(IF((OutputTable[GroupByKey]=OutputTable[[#This Row],[GroupByKey]]),(OutputTable[GroupByKey]=OutputTable[[#This Row],[GroupByKey]])*OutputTable[RecordedValue]))</f>
        <v>632</v>
      </c>
      <c r="P32" s="5" cm="1">
        <f t="array" ref="P32">MAX(IF((OutputTable[GroupByKey]=OutputTable[[#This Row],[GroupByKey]]),(OutputTable[GroupByKey]=OutputTable[[#This Row],[GroupByKey]])*OutputTable[RecordedValue]))</f>
        <v>729</v>
      </c>
    </row>
    <row r="33" spans="1:16">
      <c r="A33" t="s">
        <v>67</v>
      </c>
      <c r="B33" t="s">
        <v>70</v>
      </c>
      <c r="C33">
        <v>5</v>
      </c>
      <c r="D33" t="s">
        <v>106</v>
      </c>
      <c r="E33" t="s">
        <v>107</v>
      </c>
      <c r="F33" t="s">
        <v>92</v>
      </c>
      <c r="G33">
        <v>704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s="5" cm="1">
        <f t="array" ref="K33">IFERROR(AVERAGE(IF((OutputTable[GroupByKey]=OutputTable[[#This Row],[GroupByKey]]),(OutputTable[GroupByKey]=OutputTable[[#This Row],[GroupByKey]])*OutputTable[RecordedValue])),0)</f>
        <v>682.33333333333337</v>
      </c>
      <c r="L33" s="5" cm="1">
        <f t="array" ref="L33">IFERROR(_xlfn.STDEV.S(IF((OutputTable[GroupByKey]=OutputTable[[#This Row],[GroupByKey]]),(OutputTable[GroupByKey]=OutputTable[[#This Row],[GroupByKey]])*OutputTable[RecordedValue])),0)</f>
        <v>24.270506201238735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33" s="5" cm="1">
        <f t="array" ref="O33">MIN(IF((OutputTable[GroupByKey]=OutputTable[[#This Row],[GroupByKey]]),(OutputTable[GroupByKey]=OutputTable[[#This Row],[GroupByKey]])*OutputTable[RecordedValue]))</f>
        <v>636</v>
      </c>
      <c r="P33" s="5" cm="1">
        <f t="array" ref="P33">MAX(IF((OutputTable[GroupByKey]=OutputTable[[#This Row],[GroupByKey]]),(OutputTable[GroupByKey]=OutputTable[[#This Row],[GroupByKey]])*OutputTable[RecordedValue]))</f>
        <v>733</v>
      </c>
    </row>
    <row r="34" spans="1:16">
      <c r="A34" t="s">
        <v>67</v>
      </c>
      <c r="B34" t="s">
        <v>70</v>
      </c>
      <c r="C34">
        <v>5</v>
      </c>
      <c r="D34" t="s">
        <v>108</v>
      </c>
      <c r="E34" t="s">
        <v>109</v>
      </c>
      <c r="F34" t="s">
        <v>92</v>
      </c>
      <c r="G34">
        <v>0.874197408656194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s="5" cm="1">
        <f t="array" ref="K34">IFERROR(AVERAGE(IF((OutputTable[GroupByKey]=OutputTable[[#This Row],[GroupByKey]]),(OutputTable[GroupByKey]=OutputTable[[#This Row],[GroupByKey]])*OutputTable[RecordedValue])),0)</f>
        <v>0.85304256406630496</v>
      </c>
      <c r="L34" s="5" cm="1">
        <f t="array" ref="L34">IFERROR(_xlfn.STDEV.S(IF((OutputTable[GroupByKey]=OutputTable[[#This Row],[GroupByKey]]),(OutputTable[GroupByKey]=OutputTable[[#This Row],[GroupByKey]])*OutputTable[RecordedValue])),0)</f>
        <v>2.975273171257193E-2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34" s="5" cm="1">
        <f t="array" ref="O34">MIN(IF((OutputTable[GroupByKey]=OutputTable[[#This Row],[GroupByKey]]),(OutputTable[GroupByKey]=OutputTable[[#This Row],[GroupByKey]])*OutputTable[RecordedValue]))</f>
        <v>0.79563957753275305</v>
      </c>
      <c r="P34" s="5" cm="1">
        <f t="array" ref="P34">MAX(IF((OutputTable[GroupByKey]=OutputTable[[#This Row],[GroupByKey]]),(OutputTable[GroupByKey]=OutputTable[[#This Row],[GroupByKey]])*OutputTable[RecordedValue]))</f>
        <v>0.91388224334429202</v>
      </c>
    </row>
    <row r="35" spans="1:16">
      <c r="A35" t="s">
        <v>67</v>
      </c>
      <c r="B35" t="s">
        <v>70</v>
      </c>
      <c r="C35">
        <v>5</v>
      </c>
      <c r="D35" t="s">
        <v>110</v>
      </c>
      <c r="E35" t="s">
        <v>107</v>
      </c>
      <c r="F35" t="s">
        <v>92</v>
      </c>
      <c r="G35">
        <v>702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s="5" cm="1">
        <f t="array" ref="K35">IFERROR(AVERAGE(IF((OutputTable[GroupByKey]=OutputTable[[#This Row],[GroupByKey]]),(OutputTable[GroupByKey]=OutputTable[[#This Row],[GroupByKey]])*OutputTable[RecordedValue])),0)</f>
        <v>680.6</v>
      </c>
      <c r="L35" s="5" cm="1">
        <f t="array" ref="L35">IFERROR(_xlfn.STDEV.S(IF((OutputTable[GroupByKey]=OutputTable[[#This Row],[GroupByKey]]),(OutputTable[GroupByKey]=OutputTable[[#This Row],[GroupByKey]])*OutputTable[RecordedValue])),0)</f>
        <v>24.37296410595857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35" s="5" cm="1">
        <f t="array" ref="O35">MIN(IF((OutputTable[GroupByKey]=OutputTable[[#This Row],[GroupByKey]]),(OutputTable[GroupByKey]=OutputTable[[#This Row],[GroupByKey]])*OutputTable[RecordedValue]))</f>
        <v>634</v>
      </c>
      <c r="P35" s="5" cm="1">
        <f t="array" ref="P35">MAX(IF((OutputTable[GroupByKey]=OutputTable[[#This Row],[GroupByKey]]),(OutputTable[GroupByKey]=OutputTable[[#This Row],[GroupByKey]])*OutputTable[RecordedValue]))</f>
        <v>731</v>
      </c>
    </row>
    <row r="36" spans="1:16">
      <c r="A36" t="s">
        <v>67</v>
      </c>
      <c r="B36" t="s">
        <v>70</v>
      </c>
      <c r="C36">
        <v>5</v>
      </c>
      <c r="D36" t="s">
        <v>111</v>
      </c>
      <c r="E36" t="s">
        <v>109</v>
      </c>
      <c r="F36" t="s">
        <v>92</v>
      </c>
      <c r="G36">
        <v>0.69734871834623202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s="5" cm="1">
        <f t="array" ref="K36">IFERROR(AVERAGE(IF((OutputTable[GroupByKey]=OutputTable[[#This Row],[GroupByKey]]),(OutputTable[GroupByKey]=OutputTable[[#This Row],[GroupByKey]])*OutputTable[RecordedValue])),0)</f>
        <v>0.6819541161040038</v>
      </c>
      <c r="L36" s="5" cm="1">
        <f t="array" ref="L36">IFERROR(_xlfn.STDEV.S(IF((OutputTable[GroupByKey]=OutputTable[[#This Row],[GroupByKey]]),(OutputTable[GroupByKey]=OutputTable[[#This Row],[GroupByKey]])*OutputTable[RecordedValue])),0)</f>
        <v>2.5427627669908321E-2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36" s="5" cm="1">
        <f t="array" ref="O36">MIN(IF((OutputTable[GroupByKey]=OutputTable[[#This Row],[GroupByKey]]),(OutputTable[GroupByKey]=OutputTable[[#This Row],[GroupByKey]])*OutputTable[RecordedValue]))</f>
        <v>0.62568527922134098</v>
      </c>
      <c r="P36" s="5" cm="1">
        <f t="array" ref="P36">MAX(IF((OutputTable[GroupByKey]=OutputTable[[#This Row],[GroupByKey]]),(OutputTable[GroupByKey]=OutputTable[[#This Row],[GroupByKey]])*OutputTable[RecordedValue]))</f>
        <v>0.72090720879040104</v>
      </c>
    </row>
    <row r="37" spans="1:16">
      <c r="A37" t="s">
        <v>67</v>
      </c>
      <c r="B37" t="s">
        <v>70</v>
      </c>
      <c r="C37">
        <v>6</v>
      </c>
      <c r="D37" t="s">
        <v>100</v>
      </c>
      <c r="E37" t="s">
        <v>101</v>
      </c>
      <c r="F37" t="s">
        <v>73</v>
      </c>
      <c r="G37">
        <v>667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ProjectEntity 1.NumberInNumber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s="5" cm="1">
        <f t="array" ref="K37">IFERROR(AVERAGE(IF((OutputTable[GroupByKey]=OutputTable[[#This Row],[GroupByKey]]),(OutputTable[GroupByKey]=OutputTable[[#This Row],[GroupByKey]])*OutputTable[RecordedValue])),0)</f>
        <v>684.23333333333335</v>
      </c>
      <c r="L37" s="5" cm="1">
        <f t="array" ref="L37">IFERROR(_xlfn.STDEV.S(IF((OutputTable[GroupByKey]=OutputTable[[#This Row],[GroupByKey]]),(OutputTable[GroupByKey]=OutputTable[[#This Row],[GroupByKey]])*OutputTable[RecordedValue])),0)</f>
        <v>24.542269424520363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37" s="5" cm="1">
        <f t="array" ref="O37">MIN(IF((OutputTable[GroupByKey]=OutputTable[[#This Row],[GroupByKey]]),(OutputTable[GroupByKey]=OutputTable[[#This Row],[GroupByKey]])*OutputTable[RecordedValue]))</f>
        <v>639</v>
      </c>
      <c r="P37" s="5" cm="1">
        <f t="array" ref="P37">MAX(IF((OutputTable[GroupByKey]=OutputTable[[#This Row],[GroupByKey]]),(OutputTable[GroupByKey]=OutputTable[[#This Row],[GroupByKey]])*OutputTable[RecordedValue]))</f>
        <v>740</v>
      </c>
    </row>
    <row r="38" spans="1:16">
      <c r="A38" t="s">
        <v>67</v>
      </c>
      <c r="B38" t="s">
        <v>70</v>
      </c>
      <c r="C38">
        <v>6</v>
      </c>
      <c r="D38" t="s">
        <v>102</v>
      </c>
      <c r="E38" t="s">
        <v>103</v>
      </c>
      <c r="F38" t="s">
        <v>73</v>
      </c>
      <c r="G38">
        <v>658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ProjectEntity 1.NumberOutNumber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s="5" cm="1">
        <f t="array" ref="K38">IFERROR(AVERAGE(IF((OutputTable[GroupByKey]=OutputTable[[#This Row],[GroupByKey]]),(OutputTable[GroupByKey]=OutputTable[[#This Row],[GroupByKey]])*OutputTable[RecordedValue])),0)</f>
        <v>679.23333333333335</v>
      </c>
      <c r="L38" s="5" cm="1">
        <f t="array" ref="L38">IFERROR(_xlfn.STDEV.S(IF((OutputTable[GroupByKey]=OutputTable[[#This Row],[GroupByKey]]),(OutputTable[GroupByKey]=OutputTable[[#This Row],[GroupByKey]])*OutputTable[RecordedValue])),0)</f>
        <v>24.567547045158822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38" s="5" cm="1">
        <f t="array" ref="O38">MIN(IF((OutputTable[GroupByKey]=OutputTable[[#This Row],[GroupByKey]]),(OutputTable[GroupByKey]=OutputTable[[#This Row],[GroupByKey]])*OutputTable[RecordedValue]))</f>
        <v>632</v>
      </c>
      <c r="P38" s="5" cm="1">
        <f t="array" ref="P38">MAX(IF((OutputTable[GroupByKey]=OutputTable[[#This Row],[GroupByKey]]),(OutputTable[GroupByKey]=OutputTable[[#This Row],[GroupByKey]])*OutputTable[RecordedValue]))</f>
        <v>729</v>
      </c>
    </row>
    <row r="39" spans="1:16">
      <c r="A39" t="s">
        <v>67</v>
      </c>
      <c r="B39" t="s">
        <v>70</v>
      </c>
      <c r="C39">
        <v>6</v>
      </c>
      <c r="D39" t="s">
        <v>104</v>
      </c>
      <c r="E39" t="s">
        <v>103</v>
      </c>
      <c r="F39" t="s">
        <v>105</v>
      </c>
      <c r="G39">
        <v>658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ProjectSystem.NumberOutNumber OutSystem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s="5" cm="1">
        <f t="array" ref="K39">IFERROR(AVERAGE(IF((OutputTable[GroupByKey]=OutputTable[[#This Row],[GroupByKey]]),(OutputTable[GroupByKey]=OutputTable[[#This Row],[GroupByKey]])*OutputTable[RecordedValue])),0)</f>
        <v>679.23333333333335</v>
      </c>
      <c r="L39" s="5" cm="1">
        <f t="array" ref="L39">IFERROR(_xlfn.STDEV.S(IF((OutputTable[GroupByKey]=OutputTable[[#This Row],[GroupByKey]]),(OutputTable[GroupByKey]=OutputTable[[#This Row],[GroupByKey]])*OutputTable[RecordedValue])),0)</f>
        <v>24.567547045158822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39" s="5" cm="1">
        <f t="array" ref="O39">MIN(IF((OutputTable[GroupByKey]=OutputTable[[#This Row],[GroupByKey]]),(OutputTable[GroupByKey]=OutputTable[[#This Row],[GroupByKey]])*OutputTable[RecordedValue]))</f>
        <v>632</v>
      </c>
      <c r="P39" s="5" cm="1">
        <f t="array" ref="P39">MAX(IF((OutputTable[GroupByKey]=OutputTable[[#This Row],[GroupByKey]]),(OutputTable[GroupByKey]=OutputTable[[#This Row],[GroupByKey]])*OutputTable[RecordedValue]))</f>
        <v>729</v>
      </c>
    </row>
    <row r="40" spans="1:16">
      <c r="A40" t="s">
        <v>67</v>
      </c>
      <c r="B40" t="s">
        <v>70</v>
      </c>
      <c r="C40">
        <v>6</v>
      </c>
      <c r="D40" t="s">
        <v>106</v>
      </c>
      <c r="E40" t="s">
        <v>107</v>
      </c>
      <c r="F40" t="s">
        <v>92</v>
      </c>
      <c r="G40">
        <v>663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s="5" cm="1">
        <f t="array" ref="K40">IFERROR(AVERAGE(IF((OutputTable[GroupByKey]=OutputTable[[#This Row],[GroupByKey]]),(OutputTable[GroupByKey]=OutputTable[[#This Row],[GroupByKey]])*OutputTable[RecordedValue])),0)</f>
        <v>682.33333333333337</v>
      </c>
      <c r="L40" s="5" cm="1">
        <f t="array" ref="L40">IFERROR(_xlfn.STDEV.S(IF((OutputTable[GroupByKey]=OutputTable[[#This Row],[GroupByKey]]),(OutputTable[GroupByKey]=OutputTable[[#This Row],[GroupByKey]])*OutputTable[RecordedValue])),0)</f>
        <v>24.270506201238735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40" s="5" cm="1">
        <f t="array" ref="O40">MIN(IF((OutputTable[GroupByKey]=OutputTable[[#This Row],[GroupByKey]]),(OutputTable[GroupByKey]=OutputTable[[#This Row],[GroupByKey]])*OutputTable[RecordedValue]))</f>
        <v>636</v>
      </c>
      <c r="P40" s="5" cm="1">
        <f t="array" ref="P40">MAX(IF((OutputTable[GroupByKey]=OutputTable[[#This Row],[GroupByKey]]),(OutputTable[GroupByKey]=OutputTable[[#This Row],[GroupByKey]])*OutputTable[RecordedValue]))</f>
        <v>733</v>
      </c>
    </row>
    <row r="41" spans="1:16">
      <c r="A41" t="s">
        <v>67</v>
      </c>
      <c r="B41" t="s">
        <v>70</v>
      </c>
      <c r="C41">
        <v>6</v>
      </c>
      <c r="D41" t="s">
        <v>108</v>
      </c>
      <c r="E41" t="s">
        <v>109</v>
      </c>
      <c r="F41" t="s">
        <v>92</v>
      </c>
      <c r="G41">
        <v>0.82845301215893496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s="5" cm="1">
        <f t="array" ref="K41">IFERROR(AVERAGE(IF((OutputTable[GroupByKey]=OutputTable[[#This Row],[GroupByKey]]),(OutputTable[GroupByKey]=OutputTable[[#This Row],[GroupByKey]])*OutputTable[RecordedValue])),0)</f>
        <v>0.85304256406630496</v>
      </c>
      <c r="L41" s="5" cm="1">
        <f t="array" ref="L41">IFERROR(_xlfn.STDEV.S(IF((OutputTable[GroupByKey]=OutputTable[[#This Row],[GroupByKey]]),(OutputTable[GroupByKey]=OutputTable[[#This Row],[GroupByKey]])*OutputTable[RecordedValue])),0)</f>
        <v>2.975273171257193E-2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41" s="5" cm="1">
        <f t="array" ref="O41">MIN(IF((OutputTable[GroupByKey]=OutputTable[[#This Row],[GroupByKey]]),(OutputTable[GroupByKey]=OutputTable[[#This Row],[GroupByKey]])*OutputTable[RecordedValue]))</f>
        <v>0.79563957753275305</v>
      </c>
      <c r="P41" s="5" cm="1">
        <f t="array" ref="P41">MAX(IF((OutputTable[GroupByKey]=OutputTable[[#This Row],[GroupByKey]]),(OutputTable[GroupByKey]=OutputTable[[#This Row],[GroupByKey]])*OutputTable[RecordedValue]))</f>
        <v>0.91388224334429202</v>
      </c>
    </row>
    <row r="42" spans="1:16">
      <c r="A42" t="s">
        <v>67</v>
      </c>
      <c r="B42" t="s">
        <v>70</v>
      </c>
      <c r="C42">
        <v>6</v>
      </c>
      <c r="D42" t="s">
        <v>110</v>
      </c>
      <c r="E42" t="s">
        <v>107</v>
      </c>
      <c r="F42" t="s">
        <v>92</v>
      </c>
      <c r="G42">
        <v>660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s="5" cm="1">
        <f t="array" ref="K42">IFERROR(AVERAGE(IF((OutputTable[GroupByKey]=OutputTable[[#This Row],[GroupByKey]]),(OutputTable[GroupByKey]=OutputTable[[#This Row],[GroupByKey]])*OutputTable[RecordedValue])),0)</f>
        <v>680.6</v>
      </c>
      <c r="L42" s="5" cm="1">
        <f t="array" ref="L42">IFERROR(_xlfn.STDEV.S(IF((OutputTable[GroupByKey]=OutputTable[[#This Row],[GroupByKey]]),(OutputTable[GroupByKey]=OutputTable[[#This Row],[GroupByKey]])*OutputTable[RecordedValue])),0)</f>
        <v>24.37296410595857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42" s="5" cm="1">
        <f t="array" ref="O42">MIN(IF((OutputTable[GroupByKey]=OutputTable[[#This Row],[GroupByKey]]),(OutputTable[GroupByKey]=OutputTable[[#This Row],[GroupByKey]])*OutputTable[RecordedValue]))</f>
        <v>634</v>
      </c>
      <c r="P42" s="5" cm="1">
        <f t="array" ref="P42">MAX(IF((OutputTable[GroupByKey]=OutputTable[[#This Row],[GroupByKey]]),(OutputTable[GroupByKey]=OutputTable[[#This Row],[GroupByKey]])*OutputTable[RecordedValue]))</f>
        <v>731</v>
      </c>
    </row>
    <row r="43" spans="1:16">
      <c r="A43" t="s">
        <v>67</v>
      </c>
      <c r="B43" t="s">
        <v>70</v>
      </c>
      <c r="C43">
        <v>6</v>
      </c>
      <c r="D43" t="s">
        <v>111</v>
      </c>
      <c r="E43" t="s">
        <v>109</v>
      </c>
      <c r="F43" t="s">
        <v>92</v>
      </c>
      <c r="G43">
        <v>0.66029119630026101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s="5" cm="1">
        <f t="array" ref="K43">IFERROR(AVERAGE(IF((OutputTable[GroupByKey]=OutputTable[[#This Row],[GroupByKey]]),(OutputTable[GroupByKey]=OutputTable[[#This Row],[GroupByKey]])*OutputTable[RecordedValue])),0)</f>
        <v>0.6819541161040038</v>
      </c>
      <c r="L43" s="5" cm="1">
        <f t="array" ref="L43">IFERROR(_xlfn.STDEV.S(IF((OutputTable[GroupByKey]=OutputTable[[#This Row],[GroupByKey]]),(OutputTable[GroupByKey]=OutputTable[[#This Row],[GroupByKey]])*OutputTable[RecordedValue])),0)</f>
        <v>2.5427627669908321E-2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43" s="5" cm="1">
        <f t="array" ref="O43">MIN(IF((OutputTable[GroupByKey]=OutputTable[[#This Row],[GroupByKey]]),(OutputTable[GroupByKey]=OutputTable[[#This Row],[GroupByKey]])*OutputTable[RecordedValue]))</f>
        <v>0.62568527922134098</v>
      </c>
      <c r="P43" s="5" cm="1">
        <f t="array" ref="P43">MAX(IF((OutputTable[GroupByKey]=OutputTable[[#This Row],[GroupByKey]]),(OutputTable[GroupByKey]=OutputTable[[#This Row],[GroupByKey]])*OutputTable[RecordedValue]))</f>
        <v>0.72090720879040104</v>
      </c>
    </row>
    <row r="44" spans="1:16">
      <c r="A44" t="s">
        <v>67</v>
      </c>
      <c r="B44" t="s">
        <v>70</v>
      </c>
      <c r="C44">
        <v>7</v>
      </c>
      <c r="D44" t="s">
        <v>100</v>
      </c>
      <c r="E44" t="s">
        <v>101</v>
      </c>
      <c r="F44" t="s">
        <v>73</v>
      </c>
      <c r="G44">
        <v>713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ProjectEntity 1.NumberInNumber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s="5" cm="1">
        <f t="array" ref="K44">IFERROR(AVERAGE(IF((OutputTable[GroupByKey]=OutputTable[[#This Row],[GroupByKey]]),(OutputTable[GroupByKey]=OutputTable[[#This Row],[GroupByKey]])*OutputTable[RecordedValue])),0)</f>
        <v>684.23333333333335</v>
      </c>
      <c r="L44" s="5" cm="1">
        <f t="array" ref="L44">IFERROR(_xlfn.STDEV.S(IF((OutputTable[GroupByKey]=OutputTable[[#This Row],[GroupByKey]]),(OutputTable[GroupByKey]=OutputTable[[#This Row],[GroupByKey]])*OutputTable[RecordedValue])),0)</f>
        <v>24.542269424520363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44" s="5" cm="1">
        <f t="array" ref="O44">MIN(IF((OutputTable[GroupByKey]=OutputTable[[#This Row],[GroupByKey]]),(OutputTable[GroupByKey]=OutputTable[[#This Row],[GroupByKey]])*OutputTable[RecordedValue]))</f>
        <v>639</v>
      </c>
      <c r="P44" s="5" cm="1">
        <f t="array" ref="P44">MAX(IF((OutputTable[GroupByKey]=OutputTable[[#This Row],[GroupByKey]]),(OutputTable[GroupByKey]=OutputTable[[#This Row],[GroupByKey]])*OutputTable[RecordedValue]))</f>
        <v>740</v>
      </c>
    </row>
    <row r="45" spans="1:16">
      <c r="A45" t="s">
        <v>67</v>
      </c>
      <c r="B45" t="s">
        <v>70</v>
      </c>
      <c r="C45">
        <v>7</v>
      </c>
      <c r="D45" t="s">
        <v>102</v>
      </c>
      <c r="E45" t="s">
        <v>103</v>
      </c>
      <c r="F45" t="s">
        <v>73</v>
      </c>
      <c r="G45">
        <v>707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ProjectEntity 1.NumberOutNumber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s="5" cm="1">
        <f t="array" ref="K45">IFERROR(AVERAGE(IF((OutputTable[GroupByKey]=OutputTable[[#This Row],[GroupByKey]]),(OutputTable[GroupByKey]=OutputTable[[#This Row],[GroupByKey]])*OutputTable[RecordedValue])),0)</f>
        <v>679.23333333333335</v>
      </c>
      <c r="L45" s="5" cm="1">
        <f t="array" ref="L45">IFERROR(_xlfn.STDEV.S(IF((OutputTable[GroupByKey]=OutputTable[[#This Row],[GroupByKey]]),(OutputTable[GroupByKey]=OutputTable[[#This Row],[GroupByKey]])*OutputTable[RecordedValue])),0)</f>
        <v>24.567547045158822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45" s="5" cm="1">
        <f t="array" ref="O45">MIN(IF((OutputTable[GroupByKey]=OutputTable[[#This Row],[GroupByKey]]),(OutputTable[GroupByKey]=OutputTable[[#This Row],[GroupByKey]])*OutputTable[RecordedValue]))</f>
        <v>632</v>
      </c>
      <c r="P45" s="5" cm="1">
        <f t="array" ref="P45">MAX(IF((OutputTable[GroupByKey]=OutputTable[[#This Row],[GroupByKey]]),(OutputTable[GroupByKey]=OutputTable[[#This Row],[GroupByKey]])*OutputTable[RecordedValue]))</f>
        <v>729</v>
      </c>
    </row>
    <row r="46" spans="1:16">
      <c r="A46" t="s">
        <v>67</v>
      </c>
      <c r="B46" t="s">
        <v>70</v>
      </c>
      <c r="C46">
        <v>7</v>
      </c>
      <c r="D46" t="s">
        <v>104</v>
      </c>
      <c r="E46" t="s">
        <v>103</v>
      </c>
      <c r="F46" t="s">
        <v>105</v>
      </c>
      <c r="G46">
        <v>707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ProjectSystem.NumberOutNumber OutSystem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s="5" cm="1">
        <f t="array" ref="K46">IFERROR(AVERAGE(IF((OutputTable[GroupByKey]=OutputTable[[#This Row],[GroupByKey]]),(OutputTable[GroupByKey]=OutputTable[[#This Row],[GroupByKey]])*OutputTable[RecordedValue])),0)</f>
        <v>679.23333333333335</v>
      </c>
      <c r="L46" s="5" cm="1">
        <f t="array" ref="L46">IFERROR(_xlfn.STDEV.S(IF((OutputTable[GroupByKey]=OutputTable[[#This Row],[GroupByKey]]),(OutputTable[GroupByKey]=OutputTable[[#This Row],[GroupByKey]])*OutputTable[RecordedValue])),0)</f>
        <v>24.567547045158822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46" s="5" cm="1">
        <f t="array" ref="O46">MIN(IF((OutputTable[GroupByKey]=OutputTable[[#This Row],[GroupByKey]]),(OutputTable[GroupByKey]=OutputTable[[#This Row],[GroupByKey]])*OutputTable[RecordedValue]))</f>
        <v>632</v>
      </c>
      <c r="P46" s="5" cm="1">
        <f t="array" ref="P46">MAX(IF((OutputTable[GroupByKey]=OutputTable[[#This Row],[GroupByKey]]),(OutputTable[GroupByKey]=OutputTable[[#This Row],[GroupByKey]])*OutputTable[RecordedValue]))</f>
        <v>729</v>
      </c>
    </row>
    <row r="47" spans="1:16">
      <c r="A47" t="s">
        <v>67</v>
      </c>
      <c r="B47" t="s">
        <v>70</v>
      </c>
      <c r="C47">
        <v>7</v>
      </c>
      <c r="D47" t="s">
        <v>106</v>
      </c>
      <c r="E47" t="s">
        <v>107</v>
      </c>
      <c r="F47" t="s">
        <v>92</v>
      </c>
      <c r="G47">
        <v>710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s="5" cm="1">
        <f t="array" ref="K47">IFERROR(AVERAGE(IF((OutputTable[GroupByKey]=OutputTable[[#This Row],[GroupByKey]]),(OutputTable[GroupByKey]=OutputTable[[#This Row],[GroupByKey]])*OutputTable[RecordedValue])),0)</f>
        <v>682.33333333333337</v>
      </c>
      <c r="L47" s="5" cm="1">
        <f t="array" ref="L47">IFERROR(_xlfn.STDEV.S(IF((OutputTable[GroupByKey]=OutputTable[[#This Row],[GroupByKey]]),(OutputTable[GroupByKey]=OutputTable[[#This Row],[GroupByKey]])*OutputTable[RecordedValue])),0)</f>
        <v>24.270506201238735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47" s="5" cm="1">
        <f t="array" ref="O47">MIN(IF((OutputTable[GroupByKey]=OutputTable[[#This Row],[GroupByKey]]),(OutputTable[GroupByKey]=OutputTable[[#This Row],[GroupByKey]])*OutputTable[RecordedValue]))</f>
        <v>636</v>
      </c>
      <c r="P47" s="5" cm="1">
        <f t="array" ref="P47">MAX(IF((OutputTable[GroupByKey]=OutputTable[[#This Row],[GroupByKey]]),(OutputTable[GroupByKey]=OutputTable[[#This Row],[GroupByKey]])*OutputTable[RecordedValue]))</f>
        <v>733</v>
      </c>
    </row>
    <row r="48" spans="1:16">
      <c r="A48" t="s">
        <v>67</v>
      </c>
      <c r="B48" t="s">
        <v>70</v>
      </c>
      <c r="C48">
        <v>7</v>
      </c>
      <c r="D48" t="s">
        <v>108</v>
      </c>
      <c r="E48" t="s">
        <v>109</v>
      </c>
      <c r="F48" t="s">
        <v>92</v>
      </c>
      <c r="G48">
        <v>0.88220809388613697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s="5" cm="1">
        <f t="array" ref="K48">IFERROR(AVERAGE(IF((OutputTable[GroupByKey]=OutputTable[[#This Row],[GroupByKey]]),(OutputTable[GroupByKey]=OutputTable[[#This Row],[GroupByKey]])*OutputTable[RecordedValue])),0)</f>
        <v>0.85304256406630496</v>
      </c>
      <c r="L48" s="5" cm="1">
        <f t="array" ref="L48">IFERROR(_xlfn.STDEV.S(IF((OutputTable[GroupByKey]=OutputTable[[#This Row],[GroupByKey]]),(OutputTable[GroupByKey]=OutputTable[[#This Row],[GroupByKey]])*OutputTable[RecordedValue])),0)</f>
        <v>2.975273171257193E-2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48" s="5" cm="1">
        <f t="array" ref="O48">MIN(IF((OutputTable[GroupByKey]=OutputTable[[#This Row],[GroupByKey]]),(OutputTable[GroupByKey]=OutputTable[[#This Row],[GroupByKey]])*OutputTable[RecordedValue]))</f>
        <v>0.79563957753275305</v>
      </c>
      <c r="P48" s="5" cm="1">
        <f t="array" ref="P48">MAX(IF((OutputTable[GroupByKey]=OutputTable[[#This Row],[GroupByKey]]),(OutputTable[GroupByKey]=OutputTable[[#This Row],[GroupByKey]])*OutputTable[RecordedValue]))</f>
        <v>0.91388224334429202</v>
      </c>
    </row>
    <row r="49" spans="1:16">
      <c r="A49" t="s">
        <v>67</v>
      </c>
      <c r="B49" t="s">
        <v>70</v>
      </c>
      <c r="C49">
        <v>7</v>
      </c>
      <c r="D49" t="s">
        <v>110</v>
      </c>
      <c r="E49" t="s">
        <v>107</v>
      </c>
      <c r="F49" t="s">
        <v>92</v>
      </c>
      <c r="G49">
        <v>708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s="5" cm="1">
        <f t="array" ref="K49">IFERROR(AVERAGE(IF((OutputTable[GroupByKey]=OutputTable[[#This Row],[GroupByKey]]),(OutputTable[GroupByKey]=OutputTable[[#This Row],[GroupByKey]])*OutputTable[RecordedValue])),0)</f>
        <v>680.6</v>
      </c>
      <c r="L49" s="5" cm="1">
        <f t="array" ref="L49">IFERROR(_xlfn.STDEV.S(IF((OutputTable[GroupByKey]=OutputTable[[#This Row],[GroupByKey]]),(OutputTable[GroupByKey]=OutputTable[[#This Row],[GroupByKey]])*OutputTable[RecordedValue])),0)</f>
        <v>24.37296410595857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49" s="5" cm="1">
        <f t="array" ref="O49">MIN(IF((OutputTable[GroupByKey]=OutputTable[[#This Row],[GroupByKey]]),(OutputTable[GroupByKey]=OutputTable[[#This Row],[GroupByKey]])*OutputTable[RecordedValue]))</f>
        <v>634</v>
      </c>
      <c r="P49" s="5" cm="1">
        <f t="array" ref="P49">MAX(IF((OutputTable[GroupByKey]=OutputTable[[#This Row],[GroupByKey]]),(OutputTable[GroupByKey]=OutputTable[[#This Row],[GroupByKey]])*OutputTable[RecordedValue]))</f>
        <v>731</v>
      </c>
    </row>
    <row r="50" spans="1:16">
      <c r="A50" t="s">
        <v>67</v>
      </c>
      <c r="B50" t="s">
        <v>70</v>
      </c>
      <c r="C50">
        <v>7</v>
      </c>
      <c r="D50" t="s">
        <v>111</v>
      </c>
      <c r="E50" t="s">
        <v>109</v>
      </c>
      <c r="F50" t="s">
        <v>92</v>
      </c>
      <c r="G50">
        <v>0.703289885007645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s="5" cm="1">
        <f t="array" ref="K50">IFERROR(AVERAGE(IF((OutputTable[GroupByKey]=OutputTable[[#This Row],[GroupByKey]]),(OutputTable[GroupByKey]=OutputTable[[#This Row],[GroupByKey]])*OutputTable[RecordedValue])),0)</f>
        <v>0.6819541161040038</v>
      </c>
      <c r="L50" s="5" cm="1">
        <f t="array" ref="L50">IFERROR(_xlfn.STDEV.S(IF((OutputTable[GroupByKey]=OutputTable[[#This Row],[GroupByKey]]),(OutputTable[GroupByKey]=OutputTable[[#This Row],[GroupByKey]])*OutputTable[RecordedValue])),0)</f>
        <v>2.5427627669908321E-2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50" s="5" cm="1">
        <f t="array" ref="O50">MIN(IF((OutputTable[GroupByKey]=OutputTable[[#This Row],[GroupByKey]]),(OutputTable[GroupByKey]=OutputTable[[#This Row],[GroupByKey]])*OutputTable[RecordedValue]))</f>
        <v>0.62568527922134098</v>
      </c>
      <c r="P50" s="5" cm="1">
        <f t="array" ref="P50">MAX(IF((OutputTable[GroupByKey]=OutputTable[[#This Row],[GroupByKey]]),(OutputTable[GroupByKey]=OutputTable[[#This Row],[GroupByKey]])*OutputTable[RecordedValue]))</f>
        <v>0.72090720879040104</v>
      </c>
    </row>
    <row r="51" spans="1:16">
      <c r="A51" t="s">
        <v>67</v>
      </c>
      <c r="B51" t="s">
        <v>70</v>
      </c>
      <c r="C51">
        <v>8</v>
      </c>
      <c r="D51" t="s">
        <v>100</v>
      </c>
      <c r="E51" t="s">
        <v>101</v>
      </c>
      <c r="F51" t="s">
        <v>73</v>
      </c>
      <c r="G51">
        <v>667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ProjectEntity 1.NumberInNumber InEntity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s="5" cm="1">
        <f t="array" ref="K51">IFERROR(AVERAGE(IF((OutputTable[GroupByKey]=OutputTable[[#This Row],[GroupByKey]]),(OutputTable[GroupByKey]=OutputTable[[#This Row],[GroupByKey]])*OutputTable[RecordedValue])),0)</f>
        <v>684.23333333333335</v>
      </c>
      <c r="L51" s="5" cm="1">
        <f t="array" ref="L51">IFERROR(_xlfn.STDEV.S(IF((OutputTable[GroupByKey]=OutputTable[[#This Row],[GroupByKey]]),(OutputTable[GroupByKey]=OutputTable[[#This Row],[GroupByKey]])*OutputTable[RecordedValue])),0)</f>
        <v>24.542269424520363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51" s="5" cm="1">
        <f t="array" ref="O51">MIN(IF((OutputTable[GroupByKey]=OutputTable[[#This Row],[GroupByKey]]),(OutputTable[GroupByKey]=OutputTable[[#This Row],[GroupByKey]])*OutputTable[RecordedValue]))</f>
        <v>639</v>
      </c>
      <c r="P51" s="5" cm="1">
        <f t="array" ref="P51">MAX(IF((OutputTable[GroupByKey]=OutputTable[[#This Row],[GroupByKey]]),(OutputTable[GroupByKey]=OutputTable[[#This Row],[GroupByKey]])*OutputTable[RecordedValue]))</f>
        <v>740</v>
      </c>
    </row>
    <row r="52" spans="1:16">
      <c r="A52" t="s">
        <v>67</v>
      </c>
      <c r="B52" t="s">
        <v>70</v>
      </c>
      <c r="C52">
        <v>8</v>
      </c>
      <c r="D52" t="s">
        <v>102</v>
      </c>
      <c r="E52" t="s">
        <v>103</v>
      </c>
      <c r="F52" t="s">
        <v>73</v>
      </c>
      <c r="G52">
        <v>662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ProjectEntity 1.NumberOutNumber OutEntity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s="5" cm="1">
        <f t="array" ref="K52">IFERROR(AVERAGE(IF((OutputTable[GroupByKey]=OutputTable[[#This Row],[GroupByKey]]),(OutputTable[GroupByKey]=OutputTable[[#This Row],[GroupByKey]])*OutputTable[RecordedValue])),0)</f>
        <v>679.23333333333335</v>
      </c>
      <c r="L52" s="5" cm="1">
        <f t="array" ref="L52">IFERROR(_xlfn.STDEV.S(IF((OutputTable[GroupByKey]=OutputTable[[#This Row],[GroupByKey]]),(OutputTable[GroupByKey]=OutputTable[[#This Row],[GroupByKey]])*OutputTable[RecordedValue])),0)</f>
        <v>24.567547045158822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52" s="5" cm="1">
        <f t="array" ref="O52">MIN(IF((OutputTable[GroupByKey]=OutputTable[[#This Row],[GroupByKey]]),(OutputTable[GroupByKey]=OutputTable[[#This Row],[GroupByKey]])*OutputTable[RecordedValue]))</f>
        <v>632</v>
      </c>
      <c r="P52" s="5" cm="1">
        <f t="array" ref="P52">MAX(IF((OutputTable[GroupByKey]=OutputTable[[#This Row],[GroupByKey]]),(OutputTable[GroupByKey]=OutputTable[[#This Row],[GroupByKey]])*OutputTable[RecordedValue]))</f>
        <v>729</v>
      </c>
    </row>
    <row r="53" spans="1:16">
      <c r="A53" t="s">
        <v>67</v>
      </c>
      <c r="B53" t="s">
        <v>70</v>
      </c>
      <c r="C53">
        <v>8</v>
      </c>
      <c r="D53" t="s">
        <v>104</v>
      </c>
      <c r="E53" t="s">
        <v>103</v>
      </c>
      <c r="F53" t="s">
        <v>105</v>
      </c>
      <c r="G53">
        <v>662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ProjectSystem.NumberOutNumber OutSystem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s="5" cm="1">
        <f t="array" ref="K53">IFERROR(AVERAGE(IF((OutputTable[GroupByKey]=OutputTable[[#This Row],[GroupByKey]]),(OutputTable[GroupByKey]=OutputTable[[#This Row],[GroupByKey]])*OutputTable[RecordedValue])),0)</f>
        <v>679.23333333333335</v>
      </c>
      <c r="L53" s="5" cm="1">
        <f t="array" ref="L53">IFERROR(_xlfn.STDEV.S(IF((OutputTable[GroupByKey]=OutputTable[[#This Row],[GroupByKey]]),(OutputTable[GroupByKey]=OutputTable[[#This Row],[GroupByKey]])*OutputTable[RecordedValue])),0)</f>
        <v>24.567547045158822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53" s="5" cm="1">
        <f t="array" ref="O53">MIN(IF((OutputTable[GroupByKey]=OutputTable[[#This Row],[GroupByKey]]),(OutputTable[GroupByKey]=OutputTable[[#This Row],[GroupByKey]])*OutputTable[RecordedValue]))</f>
        <v>632</v>
      </c>
      <c r="P53" s="5" cm="1">
        <f t="array" ref="P53">MAX(IF((OutputTable[GroupByKey]=OutputTable[[#This Row],[GroupByKey]]),(OutputTable[GroupByKey]=OutputTable[[#This Row],[GroupByKey]])*OutputTable[RecordedValue]))</f>
        <v>729</v>
      </c>
    </row>
    <row r="54" spans="1:16">
      <c r="A54" t="s">
        <v>67</v>
      </c>
      <c r="B54" t="s">
        <v>70</v>
      </c>
      <c r="C54">
        <v>8</v>
      </c>
      <c r="D54" t="s">
        <v>106</v>
      </c>
      <c r="E54" t="s">
        <v>107</v>
      </c>
      <c r="F54" t="s">
        <v>92</v>
      </c>
      <c r="G54">
        <v>666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s="5" cm="1">
        <f t="array" ref="K54">IFERROR(AVERAGE(IF((OutputTable[GroupByKey]=OutputTable[[#This Row],[GroupByKey]]),(OutputTable[GroupByKey]=OutputTable[[#This Row],[GroupByKey]])*OutputTable[RecordedValue])),0)</f>
        <v>682.33333333333337</v>
      </c>
      <c r="L54" s="5" cm="1">
        <f t="array" ref="L54">IFERROR(_xlfn.STDEV.S(IF((OutputTable[GroupByKey]=OutputTable[[#This Row],[GroupByKey]]),(OutputTable[GroupByKey]=OutputTable[[#This Row],[GroupByKey]])*OutputTable[RecordedValue])),0)</f>
        <v>24.270506201238735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54" s="5" cm="1">
        <f t="array" ref="O54">MIN(IF((OutputTable[GroupByKey]=OutputTable[[#This Row],[GroupByKey]]),(OutputTable[GroupByKey]=OutputTable[[#This Row],[GroupByKey]])*OutputTable[RecordedValue]))</f>
        <v>636</v>
      </c>
      <c r="P54" s="5" cm="1">
        <f t="array" ref="P54">MAX(IF((OutputTable[GroupByKey]=OutputTable[[#This Row],[GroupByKey]]),(OutputTable[GroupByKey]=OutputTable[[#This Row],[GroupByKey]])*OutputTable[RecordedValue]))</f>
        <v>733</v>
      </c>
    </row>
    <row r="55" spans="1:16">
      <c r="A55" t="s">
        <v>67</v>
      </c>
      <c r="B55" t="s">
        <v>70</v>
      </c>
      <c r="C55">
        <v>8</v>
      </c>
      <c r="D55" t="s">
        <v>108</v>
      </c>
      <c r="E55" t="s">
        <v>109</v>
      </c>
      <c r="F55" t="s">
        <v>92</v>
      </c>
      <c r="G55">
        <v>0.83360755632975403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s="5" cm="1">
        <f t="array" ref="K55">IFERROR(AVERAGE(IF((OutputTable[GroupByKey]=OutputTable[[#This Row],[GroupByKey]]),(OutputTable[GroupByKey]=OutputTable[[#This Row],[GroupByKey]])*OutputTable[RecordedValue])),0)</f>
        <v>0.85304256406630496</v>
      </c>
      <c r="L55" s="5" cm="1">
        <f t="array" ref="L55">IFERROR(_xlfn.STDEV.S(IF((OutputTable[GroupByKey]=OutputTable[[#This Row],[GroupByKey]]),(OutputTable[GroupByKey]=OutputTable[[#This Row],[GroupByKey]])*OutputTable[RecordedValue])),0)</f>
        <v>2.975273171257193E-2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55" s="5" cm="1">
        <f t="array" ref="O55">MIN(IF((OutputTable[GroupByKey]=OutputTable[[#This Row],[GroupByKey]]),(OutputTable[GroupByKey]=OutputTable[[#This Row],[GroupByKey]])*OutputTable[RecordedValue]))</f>
        <v>0.79563957753275305</v>
      </c>
      <c r="P55" s="5" cm="1">
        <f t="array" ref="P55">MAX(IF((OutputTable[GroupByKey]=OutputTable[[#This Row],[GroupByKey]]),(OutputTable[GroupByKey]=OutputTable[[#This Row],[GroupByKey]])*OutputTable[RecordedValue]))</f>
        <v>0.91388224334429202</v>
      </c>
    </row>
    <row r="56" spans="1:16">
      <c r="A56" t="s">
        <v>67</v>
      </c>
      <c r="B56" t="s">
        <v>70</v>
      </c>
      <c r="C56">
        <v>8</v>
      </c>
      <c r="D56" t="s">
        <v>110</v>
      </c>
      <c r="E56" t="s">
        <v>107</v>
      </c>
      <c r="F56" t="s">
        <v>92</v>
      </c>
      <c r="G56">
        <v>664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s="5" cm="1">
        <f t="array" ref="K56">IFERROR(AVERAGE(IF((OutputTable[GroupByKey]=OutputTable[[#This Row],[GroupByKey]]),(OutputTable[GroupByKey]=OutputTable[[#This Row],[GroupByKey]])*OutputTable[RecordedValue])),0)</f>
        <v>680.6</v>
      </c>
      <c r="L56" s="5" cm="1">
        <f t="array" ref="L56">IFERROR(_xlfn.STDEV.S(IF((OutputTable[GroupByKey]=OutputTable[[#This Row],[GroupByKey]]),(OutputTable[GroupByKey]=OutputTable[[#This Row],[GroupByKey]])*OutputTable[RecordedValue])),0)</f>
        <v>24.37296410595857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56" s="5" cm="1">
        <f t="array" ref="O56">MIN(IF((OutputTable[GroupByKey]=OutputTable[[#This Row],[GroupByKey]]),(OutputTable[GroupByKey]=OutputTable[[#This Row],[GroupByKey]])*OutputTable[RecordedValue]))</f>
        <v>634</v>
      </c>
      <c r="P56" s="5" cm="1">
        <f t="array" ref="P56">MAX(IF((OutputTable[GroupByKey]=OutputTable[[#This Row],[GroupByKey]]),(OutputTable[GroupByKey]=OutputTable[[#This Row],[GroupByKey]])*OutputTable[RecordedValue]))</f>
        <v>731</v>
      </c>
    </row>
    <row r="57" spans="1:16">
      <c r="A57" t="s">
        <v>67</v>
      </c>
      <c r="B57" t="s">
        <v>70</v>
      </c>
      <c r="C57">
        <v>8</v>
      </c>
      <c r="D57" t="s">
        <v>111</v>
      </c>
      <c r="E57" t="s">
        <v>109</v>
      </c>
      <c r="F57" t="s">
        <v>92</v>
      </c>
      <c r="G57">
        <v>0.65163780528303905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s="5" cm="1">
        <f t="array" ref="K57">IFERROR(AVERAGE(IF((OutputTable[GroupByKey]=OutputTable[[#This Row],[GroupByKey]]),(OutputTable[GroupByKey]=OutputTable[[#This Row],[GroupByKey]])*OutputTable[RecordedValue])),0)</f>
        <v>0.6819541161040038</v>
      </c>
      <c r="L57" s="5" cm="1">
        <f t="array" ref="L57">IFERROR(_xlfn.STDEV.S(IF((OutputTable[GroupByKey]=OutputTable[[#This Row],[GroupByKey]]),(OutputTable[GroupByKey]=OutputTable[[#This Row],[GroupByKey]])*OutputTable[RecordedValue])),0)</f>
        <v>2.5427627669908321E-2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57" s="5" cm="1">
        <f t="array" ref="O57">MIN(IF((OutputTable[GroupByKey]=OutputTable[[#This Row],[GroupByKey]]),(OutputTable[GroupByKey]=OutputTable[[#This Row],[GroupByKey]])*OutputTable[RecordedValue]))</f>
        <v>0.62568527922134098</v>
      </c>
      <c r="P57" s="5" cm="1">
        <f t="array" ref="P57">MAX(IF((OutputTable[GroupByKey]=OutputTable[[#This Row],[GroupByKey]]),(OutputTable[GroupByKey]=OutputTable[[#This Row],[GroupByKey]])*OutputTable[RecordedValue]))</f>
        <v>0.72090720879040104</v>
      </c>
    </row>
    <row r="58" spans="1:16">
      <c r="A58" t="s">
        <v>67</v>
      </c>
      <c r="B58" t="s">
        <v>70</v>
      </c>
      <c r="C58">
        <v>9</v>
      </c>
      <c r="D58" t="s">
        <v>100</v>
      </c>
      <c r="E58" t="s">
        <v>101</v>
      </c>
      <c r="F58" t="s">
        <v>73</v>
      </c>
      <c r="G58">
        <v>657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ProjectEntity 1.NumberInNumber InEntity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s="5" cm="1">
        <f t="array" ref="K58">IFERROR(AVERAGE(IF((OutputTable[GroupByKey]=OutputTable[[#This Row],[GroupByKey]]),(OutputTable[GroupByKey]=OutputTable[[#This Row],[GroupByKey]])*OutputTable[RecordedValue])),0)</f>
        <v>684.23333333333335</v>
      </c>
      <c r="L58" s="5" cm="1">
        <f t="array" ref="L58">IFERROR(_xlfn.STDEV.S(IF((OutputTable[GroupByKey]=OutputTable[[#This Row],[GroupByKey]]),(OutputTable[GroupByKey]=OutputTable[[#This Row],[GroupByKey]])*OutputTable[RecordedValue])),0)</f>
        <v>24.542269424520363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58" s="5" cm="1">
        <f t="array" ref="O58">MIN(IF((OutputTable[GroupByKey]=OutputTable[[#This Row],[GroupByKey]]),(OutputTable[GroupByKey]=OutputTable[[#This Row],[GroupByKey]])*OutputTable[RecordedValue]))</f>
        <v>639</v>
      </c>
      <c r="P58" s="5" cm="1">
        <f t="array" ref="P58">MAX(IF((OutputTable[GroupByKey]=OutputTable[[#This Row],[GroupByKey]]),(OutputTable[GroupByKey]=OutputTable[[#This Row],[GroupByKey]])*OutputTable[RecordedValue]))</f>
        <v>740</v>
      </c>
    </row>
    <row r="59" spans="1:16">
      <c r="A59" t="s">
        <v>67</v>
      </c>
      <c r="B59" t="s">
        <v>70</v>
      </c>
      <c r="C59">
        <v>9</v>
      </c>
      <c r="D59" t="s">
        <v>102</v>
      </c>
      <c r="E59" t="s">
        <v>103</v>
      </c>
      <c r="F59" t="s">
        <v>73</v>
      </c>
      <c r="G59">
        <v>649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ProjectEntity 1.NumberOutNumber OutEntity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s="5" cm="1">
        <f t="array" ref="K59">IFERROR(AVERAGE(IF((OutputTable[GroupByKey]=OutputTable[[#This Row],[GroupByKey]]),(OutputTable[GroupByKey]=OutputTable[[#This Row],[GroupByKey]])*OutputTable[RecordedValue])),0)</f>
        <v>679.23333333333335</v>
      </c>
      <c r="L59" s="5" cm="1">
        <f t="array" ref="L59">IFERROR(_xlfn.STDEV.S(IF((OutputTable[GroupByKey]=OutputTable[[#This Row],[GroupByKey]]),(OutputTable[GroupByKey]=OutputTable[[#This Row],[GroupByKey]])*OutputTable[RecordedValue])),0)</f>
        <v>24.567547045158822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59" s="5" cm="1">
        <f t="array" ref="O59">MIN(IF((OutputTable[GroupByKey]=OutputTable[[#This Row],[GroupByKey]]),(OutputTable[GroupByKey]=OutputTable[[#This Row],[GroupByKey]])*OutputTable[RecordedValue]))</f>
        <v>632</v>
      </c>
      <c r="P59" s="5" cm="1">
        <f t="array" ref="P59">MAX(IF((OutputTable[GroupByKey]=OutputTable[[#This Row],[GroupByKey]]),(OutputTable[GroupByKey]=OutputTable[[#This Row],[GroupByKey]])*OutputTable[RecordedValue]))</f>
        <v>729</v>
      </c>
    </row>
    <row r="60" spans="1:16">
      <c r="A60" t="s">
        <v>67</v>
      </c>
      <c r="B60" t="s">
        <v>70</v>
      </c>
      <c r="C60">
        <v>9</v>
      </c>
      <c r="D60" t="s">
        <v>104</v>
      </c>
      <c r="E60" t="s">
        <v>103</v>
      </c>
      <c r="F60" t="s">
        <v>105</v>
      </c>
      <c r="G60">
        <v>649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ProjectSystem.NumberOutNumber OutSystem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s="5" cm="1">
        <f t="array" ref="K60">IFERROR(AVERAGE(IF((OutputTable[GroupByKey]=OutputTable[[#This Row],[GroupByKey]]),(OutputTable[GroupByKey]=OutputTable[[#This Row],[GroupByKey]])*OutputTable[RecordedValue])),0)</f>
        <v>679.23333333333335</v>
      </c>
      <c r="L60" s="5" cm="1">
        <f t="array" ref="L60">IFERROR(_xlfn.STDEV.S(IF((OutputTable[GroupByKey]=OutputTable[[#This Row],[GroupByKey]]),(OutputTable[GroupByKey]=OutputTable[[#This Row],[GroupByKey]])*OutputTable[RecordedValue])),0)</f>
        <v>24.567547045158822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60" s="5" cm="1">
        <f t="array" ref="O60">MIN(IF((OutputTable[GroupByKey]=OutputTable[[#This Row],[GroupByKey]]),(OutputTable[GroupByKey]=OutputTable[[#This Row],[GroupByKey]])*OutputTable[RecordedValue]))</f>
        <v>632</v>
      </c>
      <c r="P60" s="5" cm="1">
        <f t="array" ref="P60">MAX(IF((OutputTable[GroupByKey]=OutputTable[[#This Row],[GroupByKey]]),(OutputTable[GroupByKey]=OutputTable[[#This Row],[GroupByKey]])*OutputTable[RecordedValue]))</f>
        <v>729</v>
      </c>
    </row>
    <row r="61" spans="1:16">
      <c r="A61" t="s">
        <v>67</v>
      </c>
      <c r="B61" t="s">
        <v>70</v>
      </c>
      <c r="C61">
        <v>9</v>
      </c>
      <c r="D61" t="s">
        <v>106</v>
      </c>
      <c r="E61" t="s">
        <v>107</v>
      </c>
      <c r="F61" t="s">
        <v>92</v>
      </c>
      <c r="G61">
        <v>652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s="5" cm="1">
        <f t="array" ref="K61">IFERROR(AVERAGE(IF((OutputTable[GroupByKey]=OutputTable[[#This Row],[GroupByKey]]),(OutputTable[GroupByKey]=OutputTable[[#This Row],[GroupByKey]])*OutputTable[RecordedValue])),0)</f>
        <v>682.33333333333337</v>
      </c>
      <c r="L61" s="5" cm="1">
        <f t="array" ref="L61">IFERROR(_xlfn.STDEV.S(IF((OutputTable[GroupByKey]=OutputTable[[#This Row],[GroupByKey]]),(OutputTable[GroupByKey]=OutputTable[[#This Row],[GroupByKey]])*OutputTable[RecordedValue])),0)</f>
        <v>24.270506201238735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61" s="5" cm="1">
        <f t="array" ref="O61">MIN(IF((OutputTable[GroupByKey]=OutputTable[[#This Row],[GroupByKey]]),(OutputTable[GroupByKey]=OutputTable[[#This Row],[GroupByKey]])*OutputTable[RecordedValue]))</f>
        <v>636</v>
      </c>
      <c r="P61" s="5" cm="1">
        <f t="array" ref="P61">MAX(IF((OutputTable[GroupByKey]=OutputTable[[#This Row],[GroupByKey]]),(OutputTable[GroupByKey]=OutputTable[[#This Row],[GroupByKey]])*OutputTable[RecordedValue]))</f>
        <v>733</v>
      </c>
    </row>
    <row r="62" spans="1:16">
      <c r="A62" t="s">
        <v>67</v>
      </c>
      <c r="B62" t="s">
        <v>70</v>
      </c>
      <c r="C62">
        <v>9</v>
      </c>
      <c r="D62" t="s">
        <v>108</v>
      </c>
      <c r="E62" t="s">
        <v>109</v>
      </c>
      <c r="F62" t="s">
        <v>92</v>
      </c>
      <c r="G62">
        <v>0.81788257588493096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s="5" cm="1">
        <f t="array" ref="K62">IFERROR(AVERAGE(IF((OutputTable[GroupByKey]=OutputTable[[#This Row],[GroupByKey]]),(OutputTable[GroupByKey]=OutputTable[[#This Row],[GroupByKey]])*OutputTable[RecordedValue])),0)</f>
        <v>0.85304256406630496</v>
      </c>
      <c r="L62" s="5" cm="1">
        <f t="array" ref="L62">IFERROR(_xlfn.STDEV.S(IF((OutputTable[GroupByKey]=OutputTable[[#This Row],[GroupByKey]]),(OutputTable[GroupByKey]=OutputTable[[#This Row],[GroupByKey]])*OutputTable[RecordedValue])),0)</f>
        <v>2.975273171257193E-2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62" s="5" cm="1">
        <f t="array" ref="O62">MIN(IF((OutputTable[GroupByKey]=OutputTable[[#This Row],[GroupByKey]]),(OutputTable[GroupByKey]=OutputTable[[#This Row],[GroupByKey]])*OutputTable[RecordedValue]))</f>
        <v>0.79563957753275305</v>
      </c>
      <c r="P62" s="5" cm="1">
        <f t="array" ref="P62">MAX(IF((OutputTable[GroupByKey]=OutputTable[[#This Row],[GroupByKey]]),(OutputTable[GroupByKey]=OutputTable[[#This Row],[GroupByKey]])*OutputTable[RecordedValue]))</f>
        <v>0.91388224334429202</v>
      </c>
    </row>
    <row r="63" spans="1:16">
      <c r="A63" t="s">
        <v>67</v>
      </c>
      <c r="B63" t="s">
        <v>70</v>
      </c>
      <c r="C63">
        <v>9</v>
      </c>
      <c r="D63" t="s">
        <v>110</v>
      </c>
      <c r="E63" t="s">
        <v>107</v>
      </c>
      <c r="F63" t="s">
        <v>92</v>
      </c>
      <c r="G63">
        <v>650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s="5" cm="1">
        <f t="array" ref="K63">IFERROR(AVERAGE(IF((OutputTable[GroupByKey]=OutputTable[[#This Row],[GroupByKey]]),(OutputTable[GroupByKey]=OutputTable[[#This Row],[GroupByKey]])*OutputTable[RecordedValue])),0)</f>
        <v>680.6</v>
      </c>
      <c r="L63" s="5" cm="1">
        <f t="array" ref="L63">IFERROR(_xlfn.STDEV.S(IF((OutputTable[GroupByKey]=OutputTable[[#This Row],[GroupByKey]]),(OutputTable[GroupByKey]=OutputTable[[#This Row],[GroupByKey]])*OutputTable[RecordedValue])),0)</f>
        <v>24.37296410595857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63" s="5" cm="1">
        <f t="array" ref="O63">MIN(IF((OutputTable[GroupByKey]=OutputTable[[#This Row],[GroupByKey]]),(OutputTable[GroupByKey]=OutputTable[[#This Row],[GroupByKey]])*OutputTable[RecordedValue]))</f>
        <v>634</v>
      </c>
      <c r="P63" s="5" cm="1">
        <f t="array" ref="P63">MAX(IF((OutputTable[GroupByKey]=OutputTable[[#This Row],[GroupByKey]]),(OutputTable[GroupByKey]=OutputTable[[#This Row],[GroupByKey]])*OutputTable[RecordedValue]))</f>
        <v>731</v>
      </c>
    </row>
    <row r="64" spans="1:16">
      <c r="A64" t="s">
        <v>67</v>
      </c>
      <c r="B64" t="s">
        <v>70</v>
      </c>
      <c r="C64">
        <v>9</v>
      </c>
      <c r="D64" t="s">
        <v>111</v>
      </c>
      <c r="E64" t="s">
        <v>109</v>
      </c>
      <c r="F64" t="s">
        <v>92</v>
      </c>
      <c r="G64">
        <v>0.64742434851608399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s="5" cm="1">
        <f t="array" ref="K64">IFERROR(AVERAGE(IF((OutputTable[GroupByKey]=OutputTable[[#This Row],[GroupByKey]]),(OutputTable[GroupByKey]=OutputTable[[#This Row],[GroupByKey]])*OutputTable[RecordedValue])),0)</f>
        <v>0.6819541161040038</v>
      </c>
      <c r="L64" s="5" cm="1">
        <f t="array" ref="L64">IFERROR(_xlfn.STDEV.S(IF((OutputTable[GroupByKey]=OutputTable[[#This Row],[GroupByKey]]),(OutputTable[GroupByKey]=OutputTable[[#This Row],[GroupByKey]])*OutputTable[RecordedValue])),0)</f>
        <v>2.5427627669908321E-2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64" s="5" cm="1">
        <f t="array" ref="O64">MIN(IF((OutputTable[GroupByKey]=OutputTable[[#This Row],[GroupByKey]]),(OutputTable[GroupByKey]=OutputTable[[#This Row],[GroupByKey]])*OutputTable[RecordedValue]))</f>
        <v>0.62568527922134098</v>
      </c>
      <c r="P64" s="5" cm="1">
        <f t="array" ref="P64">MAX(IF((OutputTable[GroupByKey]=OutputTable[[#This Row],[GroupByKey]]),(OutputTable[GroupByKey]=OutputTable[[#This Row],[GroupByKey]])*OutputTable[RecordedValue]))</f>
        <v>0.72090720879040104</v>
      </c>
    </row>
    <row r="65" spans="1:16">
      <c r="A65" t="s">
        <v>67</v>
      </c>
      <c r="B65" t="s">
        <v>70</v>
      </c>
      <c r="C65">
        <v>10</v>
      </c>
      <c r="D65" t="s">
        <v>100</v>
      </c>
      <c r="E65" t="s">
        <v>101</v>
      </c>
      <c r="F65" t="s">
        <v>73</v>
      </c>
      <c r="G65">
        <v>675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ProjectEntity 1.NumberInNumber InEntity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s="5" cm="1">
        <f t="array" ref="K65">IFERROR(AVERAGE(IF((OutputTable[GroupByKey]=OutputTable[[#This Row],[GroupByKey]]),(OutputTable[GroupByKey]=OutputTable[[#This Row],[GroupByKey]])*OutputTable[RecordedValue])),0)</f>
        <v>684.23333333333335</v>
      </c>
      <c r="L65" s="5" cm="1">
        <f t="array" ref="L65">IFERROR(_xlfn.STDEV.S(IF((OutputTable[GroupByKey]=OutputTable[[#This Row],[GroupByKey]]),(OutputTable[GroupByKey]=OutputTable[[#This Row],[GroupByKey]])*OutputTable[RecordedValue])),0)</f>
        <v>24.542269424520363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65" s="5" cm="1">
        <f t="array" ref="O65">MIN(IF((OutputTable[GroupByKey]=OutputTable[[#This Row],[GroupByKey]]),(OutputTable[GroupByKey]=OutputTable[[#This Row],[GroupByKey]])*OutputTable[RecordedValue]))</f>
        <v>639</v>
      </c>
      <c r="P65" s="5" cm="1">
        <f t="array" ref="P65">MAX(IF((OutputTable[GroupByKey]=OutputTable[[#This Row],[GroupByKey]]),(OutputTable[GroupByKey]=OutputTable[[#This Row],[GroupByKey]])*OutputTable[RecordedValue]))</f>
        <v>740</v>
      </c>
    </row>
    <row r="66" spans="1:16">
      <c r="A66" t="s">
        <v>67</v>
      </c>
      <c r="B66" t="s">
        <v>70</v>
      </c>
      <c r="C66">
        <v>10</v>
      </c>
      <c r="D66" t="s">
        <v>102</v>
      </c>
      <c r="E66" t="s">
        <v>103</v>
      </c>
      <c r="F66" t="s">
        <v>73</v>
      </c>
      <c r="G66">
        <v>670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ProjectEntity 1.NumberOutNumber OutEntity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s="5" cm="1">
        <f t="array" ref="K66">IFERROR(AVERAGE(IF((OutputTable[GroupByKey]=OutputTable[[#This Row],[GroupByKey]]),(OutputTable[GroupByKey]=OutputTable[[#This Row],[GroupByKey]])*OutputTable[RecordedValue])),0)</f>
        <v>679.23333333333335</v>
      </c>
      <c r="L66" s="5" cm="1">
        <f t="array" ref="L66">IFERROR(_xlfn.STDEV.S(IF((OutputTable[GroupByKey]=OutputTable[[#This Row],[GroupByKey]]),(OutputTable[GroupByKey]=OutputTable[[#This Row],[GroupByKey]])*OutputTable[RecordedValue])),0)</f>
        <v>24.567547045158822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66" s="5" cm="1">
        <f t="array" ref="O66">MIN(IF((OutputTable[GroupByKey]=OutputTable[[#This Row],[GroupByKey]]),(OutputTable[GroupByKey]=OutputTable[[#This Row],[GroupByKey]])*OutputTable[RecordedValue]))</f>
        <v>632</v>
      </c>
      <c r="P66" s="5" cm="1">
        <f t="array" ref="P66">MAX(IF((OutputTable[GroupByKey]=OutputTable[[#This Row],[GroupByKey]]),(OutputTable[GroupByKey]=OutputTable[[#This Row],[GroupByKey]])*OutputTable[RecordedValue]))</f>
        <v>729</v>
      </c>
    </row>
    <row r="67" spans="1:16">
      <c r="A67" t="s">
        <v>67</v>
      </c>
      <c r="B67" t="s">
        <v>70</v>
      </c>
      <c r="C67">
        <v>10</v>
      </c>
      <c r="D67" t="s">
        <v>104</v>
      </c>
      <c r="E67" t="s">
        <v>103</v>
      </c>
      <c r="F67" t="s">
        <v>105</v>
      </c>
      <c r="G67">
        <v>670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ProjectSystem.NumberOutNumber OutSystem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s="5" cm="1">
        <f t="array" ref="K67">IFERROR(AVERAGE(IF((OutputTable[GroupByKey]=OutputTable[[#This Row],[GroupByKey]]),(OutputTable[GroupByKey]=OutputTable[[#This Row],[GroupByKey]])*OutputTable[RecordedValue])),0)</f>
        <v>679.23333333333335</v>
      </c>
      <c r="L67" s="5" cm="1">
        <f t="array" ref="L67">IFERROR(_xlfn.STDEV.S(IF((OutputTable[GroupByKey]=OutputTable[[#This Row],[GroupByKey]]),(OutputTable[GroupByKey]=OutputTable[[#This Row],[GroupByKey]])*OutputTable[RecordedValue])),0)</f>
        <v>24.567547045158822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67" s="5" cm="1">
        <f t="array" ref="O67">MIN(IF((OutputTable[GroupByKey]=OutputTable[[#This Row],[GroupByKey]]),(OutputTable[GroupByKey]=OutputTable[[#This Row],[GroupByKey]])*OutputTable[RecordedValue]))</f>
        <v>632</v>
      </c>
      <c r="P67" s="5" cm="1">
        <f t="array" ref="P67">MAX(IF((OutputTable[GroupByKey]=OutputTable[[#This Row],[GroupByKey]]),(OutputTable[GroupByKey]=OutputTable[[#This Row],[GroupByKey]])*OutputTable[RecordedValue]))</f>
        <v>729</v>
      </c>
    </row>
    <row r="68" spans="1:16">
      <c r="A68" t="s">
        <v>67</v>
      </c>
      <c r="B68" t="s">
        <v>70</v>
      </c>
      <c r="C68">
        <v>10</v>
      </c>
      <c r="D68" t="s">
        <v>106</v>
      </c>
      <c r="E68" t="s">
        <v>107</v>
      </c>
      <c r="F68" t="s">
        <v>92</v>
      </c>
      <c r="G68">
        <v>674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s="5" cm="1">
        <f t="array" ref="K68">IFERROR(AVERAGE(IF((OutputTable[GroupByKey]=OutputTable[[#This Row],[GroupByKey]]),(OutputTable[GroupByKey]=OutputTable[[#This Row],[GroupByKey]])*OutputTable[RecordedValue])),0)</f>
        <v>682.33333333333337</v>
      </c>
      <c r="L68" s="5" cm="1">
        <f t="array" ref="L68">IFERROR(_xlfn.STDEV.S(IF((OutputTable[GroupByKey]=OutputTable[[#This Row],[GroupByKey]]),(OutputTable[GroupByKey]=OutputTable[[#This Row],[GroupByKey]])*OutputTable[RecordedValue])),0)</f>
        <v>24.270506201238735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68" s="5" cm="1">
        <f t="array" ref="O68">MIN(IF((OutputTable[GroupByKey]=OutputTable[[#This Row],[GroupByKey]]),(OutputTable[GroupByKey]=OutputTable[[#This Row],[GroupByKey]])*OutputTable[RecordedValue]))</f>
        <v>636</v>
      </c>
      <c r="P68" s="5" cm="1">
        <f t="array" ref="P68">MAX(IF((OutputTable[GroupByKey]=OutputTable[[#This Row],[GroupByKey]]),(OutputTable[GroupByKey]=OutputTable[[#This Row],[GroupByKey]])*OutputTable[RecordedValue]))</f>
        <v>733</v>
      </c>
    </row>
    <row r="69" spans="1:16">
      <c r="A69" t="s">
        <v>67</v>
      </c>
      <c r="B69" t="s">
        <v>70</v>
      </c>
      <c r="C69">
        <v>10</v>
      </c>
      <c r="D69" t="s">
        <v>108</v>
      </c>
      <c r="E69" t="s">
        <v>109</v>
      </c>
      <c r="F69" t="s">
        <v>92</v>
      </c>
      <c r="G69">
        <v>0.84151042192898695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s="5" cm="1">
        <f t="array" ref="K69">IFERROR(AVERAGE(IF((OutputTable[GroupByKey]=OutputTable[[#This Row],[GroupByKey]]),(OutputTable[GroupByKey]=OutputTable[[#This Row],[GroupByKey]])*OutputTable[RecordedValue])),0)</f>
        <v>0.85304256406630496</v>
      </c>
      <c r="L69" s="5" cm="1">
        <f t="array" ref="L69">IFERROR(_xlfn.STDEV.S(IF((OutputTable[GroupByKey]=OutputTable[[#This Row],[GroupByKey]]),(OutputTable[GroupByKey]=OutputTable[[#This Row],[GroupByKey]])*OutputTable[RecordedValue])),0)</f>
        <v>2.975273171257193E-2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69" s="5" cm="1">
        <f t="array" ref="O69">MIN(IF((OutputTable[GroupByKey]=OutputTable[[#This Row],[GroupByKey]]),(OutputTable[GroupByKey]=OutputTable[[#This Row],[GroupByKey]])*OutputTable[RecordedValue]))</f>
        <v>0.79563957753275305</v>
      </c>
      <c r="P69" s="5" cm="1">
        <f t="array" ref="P69">MAX(IF((OutputTable[GroupByKey]=OutputTable[[#This Row],[GroupByKey]]),(OutputTable[GroupByKey]=OutputTable[[#This Row],[GroupByKey]])*OutputTable[RecordedValue]))</f>
        <v>0.91388224334429202</v>
      </c>
    </row>
    <row r="70" spans="1:16">
      <c r="A70" t="s">
        <v>67</v>
      </c>
      <c r="B70" t="s">
        <v>70</v>
      </c>
      <c r="C70">
        <v>10</v>
      </c>
      <c r="D70" t="s">
        <v>110</v>
      </c>
      <c r="E70" t="s">
        <v>107</v>
      </c>
      <c r="F70" t="s">
        <v>92</v>
      </c>
      <c r="G70">
        <v>672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s="5" cm="1">
        <f t="array" ref="K70">IFERROR(AVERAGE(IF((OutputTable[GroupByKey]=OutputTable[[#This Row],[GroupByKey]]),(OutputTable[GroupByKey]=OutputTable[[#This Row],[GroupByKey]])*OutputTable[RecordedValue])),0)</f>
        <v>680.6</v>
      </c>
      <c r="L70" s="5" cm="1">
        <f t="array" ref="L70">IFERROR(_xlfn.STDEV.S(IF((OutputTable[GroupByKey]=OutputTable[[#This Row],[GroupByKey]]),(OutputTable[GroupByKey]=OutputTable[[#This Row],[GroupByKey]])*OutputTable[RecordedValue])),0)</f>
        <v>24.37296410595857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70" s="5" cm="1">
        <f t="array" ref="O70">MIN(IF((OutputTable[GroupByKey]=OutputTable[[#This Row],[GroupByKey]]),(OutputTable[GroupByKey]=OutputTable[[#This Row],[GroupByKey]])*OutputTable[RecordedValue]))</f>
        <v>634</v>
      </c>
      <c r="P70" s="5" cm="1">
        <f t="array" ref="P70">MAX(IF((OutputTable[GroupByKey]=OutputTable[[#This Row],[GroupByKey]]),(OutputTable[GroupByKey]=OutputTable[[#This Row],[GroupByKey]])*OutputTable[RecordedValue]))</f>
        <v>731</v>
      </c>
    </row>
    <row r="71" spans="1:16">
      <c r="A71" t="s">
        <v>67</v>
      </c>
      <c r="B71" t="s">
        <v>70</v>
      </c>
      <c r="C71">
        <v>10</v>
      </c>
      <c r="D71" t="s">
        <v>111</v>
      </c>
      <c r="E71" t="s">
        <v>109</v>
      </c>
      <c r="F71" t="s">
        <v>92</v>
      </c>
      <c r="G71">
        <v>0.67441446210244305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s="5" cm="1">
        <f t="array" ref="K71">IFERROR(AVERAGE(IF((OutputTable[GroupByKey]=OutputTable[[#This Row],[GroupByKey]]),(OutputTable[GroupByKey]=OutputTable[[#This Row],[GroupByKey]])*OutputTable[RecordedValue])),0)</f>
        <v>0.6819541161040038</v>
      </c>
      <c r="L71" s="5" cm="1">
        <f t="array" ref="L71">IFERROR(_xlfn.STDEV.S(IF((OutputTable[GroupByKey]=OutputTable[[#This Row],[GroupByKey]]),(OutputTable[GroupByKey]=OutputTable[[#This Row],[GroupByKey]])*OutputTable[RecordedValue])),0)</f>
        <v>2.5427627669908321E-2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71" s="5" cm="1">
        <f t="array" ref="O71">MIN(IF((OutputTable[GroupByKey]=OutputTable[[#This Row],[GroupByKey]]),(OutputTable[GroupByKey]=OutputTable[[#This Row],[GroupByKey]])*OutputTable[RecordedValue]))</f>
        <v>0.62568527922134098</v>
      </c>
      <c r="P71" s="5" cm="1">
        <f t="array" ref="P71">MAX(IF((OutputTable[GroupByKey]=OutputTable[[#This Row],[GroupByKey]]),(OutputTable[GroupByKey]=OutputTable[[#This Row],[GroupByKey]])*OutputTable[RecordedValue]))</f>
        <v>0.72090720879040104</v>
      </c>
    </row>
    <row r="72" spans="1:16">
      <c r="A72" t="s">
        <v>67</v>
      </c>
      <c r="B72" t="s">
        <v>70</v>
      </c>
      <c r="C72">
        <v>11</v>
      </c>
      <c r="D72" t="s">
        <v>100</v>
      </c>
      <c r="E72" t="s">
        <v>101</v>
      </c>
      <c r="F72" t="s">
        <v>73</v>
      </c>
      <c r="G72">
        <v>670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ProjectEntity 1.NumberInNumber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s="5" cm="1">
        <f t="array" ref="K72">IFERROR(AVERAGE(IF((OutputTable[GroupByKey]=OutputTable[[#This Row],[GroupByKey]]),(OutputTable[GroupByKey]=OutputTable[[#This Row],[GroupByKey]])*OutputTable[RecordedValue])),0)</f>
        <v>684.23333333333335</v>
      </c>
      <c r="L72" s="5" cm="1">
        <f t="array" ref="L72">IFERROR(_xlfn.STDEV.S(IF((OutputTable[GroupByKey]=OutputTable[[#This Row],[GroupByKey]]),(OutputTable[GroupByKey]=OutputTable[[#This Row],[GroupByKey]])*OutputTable[RecordedValue])),0)</f>
        <v>24.542269424520363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72" s="5" cm="1">
        <f t="array" ref="O72">MIN(IF((OutputTable[GroupByKey]=OutputTable[[#This Row],[GroupByKey]]),(OutputTable[GroupByKey]=OutputTable[[#This Row],[GroupByKey]])*OutputTable[RecordedValue]))</f>
        <v>639</v>
      </c>
      <c r="P72" s="5" cm="1">
        <f t="array" ref="P72">MAX(IF((OutputTable[GroupByKey]=OutputTable[[#This Row],[GroupByKey]]),(OutputTable[GroupByKey]=OutputTable[[#This Row],[GroupByKey]])*OutputTable[RecordedValue]))</f>
        <v>740</v>
      </c>
    </row>
    <row r="73" spans="1:16">
      <c r="A73" t="s">
        <v>67</v>
      </c>
      <c r="B73" t="s">
        <v>70</v>
      </c>
      <c r="C73">
        <v>11</v>
      </c>
      <c r="D73" t="s">
        <v>102</v>
      </c>
      <c r="E73" t="s">
        <v>103</v>
      </c>
      <c r="F73" t="s">
        <v>73</v>
      </c>
      <c r="G73">
        <v>668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ProjectEntity 1.NumberOutNumber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s="5" cm="1">
        <f t="array" ref="K73">IFERROR(AVERAGE(IF((OutputTable[GroupByKey]=OutputTable[[#This Row],[GroupByKey]]),(OutputTable[GroupByKey]=OutputTable[[#This Row],[GroupByKey]])*OutputTable[RecordedValue])),0)</f>
        <v>679.23333333333335</v>
      </c>
      <c r="L73" s="5" cm="1">
        <f t="array" ref="L73">IFERROR(_xlfn.STDEV.S(IF((OutputTable[GroupByKey]=OutputTable[[#This Row],[GroupByKey]]),(OutputTable[GroupByKey]=OutputTable[[#This Row],[GroupByKey]])*OutputTable[RecordedValue])),0)</f>
        <v>24.567547045158822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73" s="5" cm="1">
        <f t="array" ref="O73">MIN(IF((OutputTable[GroupByKey]=OutputTable[[#This Row],[GroupByKey]]),(OutputTable[GroupByKey]=OutputTable[[#This Row],[GroupByKey]])*OutputTable[RecordedValue]))</f>
        <v>632</v>
      </c>
      <c r="P73" s="5" cm="1">
        <f t="array" ref="P73">MAX(IF((OutputTable[GroupByKey]=OutputTable[[#This Row],[GroupByKey]]),(OutputTable[GroupByKey]=OutputTable[[#This Row],[GroupByKey]])*OutputTable[RecordedValue]))</f>
        <v>729</v>
      </c>
    </row>
    <row r="74" spans="1:16">
      <c r="A74" t="s">
        <v>67</v>
      </c>
      <c r="B74" t="s">
        <v>70</v>
      </c>
      <c r="C74">
        <v>11</v>
      </c>
      <c r="D74" t="s">
        <v>104</v>
      </c>
      <c r="E74" t="s">
        <v>103</v>
      </c>
      <c r="F74" t="s">
        <v>105</v>
      </c>
      <c r="G74">
        <v>668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ProjectSystem.NumberOutNumber OutSystem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s="5" cm="1">
        <f t="array" ref="K74">IFERROR(AVERAGE(IF((OutputTable[GroupByKey]=OutputTable[[#This Row],[GroupByKey]]),(OutputTable[GroupByKey]=OutputTable[[#This Row],[GroupByKey]])*OutputTable[RecordedValue])),0)</f>
        <v>679.23333333333335</v>
      </c>
      <c r="L74" s="5" cm="1">
        <f t="array" ref="L74">IFERROR(_xlfn.STDEV.S(IF((OutputTable[GroupByKey]=OutputTable[[#This Row],[GroupByKey]]),(OutputTable[GroupByKey]=OutputTable[[#This Row],[GroupByKey]])*OutputTable[RecordedValue])),0)</f>
        <v>24.567547045158822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74" s="5" cm="1">
        <f t="array" ref="O74">MIN(IF((OutputTable[GroupByKey]=OutputTable[[#This Row],[GroupByKey]]),(OutputTable[GroupByKey]=OutputTable[[#This Row],[GroupByKey]])*OutputTable[RecordedValue]))</f>
        <v>632</v>
      </c>
      <c r="P74" s="5" cm="1">
        <f t="array" ref="P74">MAX(IF((OutputTable[GroupByKey]=OutputTable[[#This Row],[GroupByKey]]),(OutputTable[GroupByKey]=OutputTable[[#This Row],[GroupByKey]])*OutputTable[RecordedValue]))</f>
        <v>729</v>
      </c>
    </row>
    <row r="75" spans="1:16">
      <c r="A75" t="s">
        <v>67</v>
      </c>
      <c r="B75" t="s">
        <v>70</v>
      </c>
      <c r="C75">
        <v>11</v>
      </c>
      <c r="D75" t="s">
        <v>106</v>
      </c>
      <c r="E75" t="s">
        <v>107</v>
      </c>
      <c r="F75" t="s">
        <v>92</v>
      </c>
      <c r="G75">
        <v>670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s="5" cm="1">
        <f t="array" ref="K75">IFERROR(AVERAGE(IF((OutputTable[GroupByKey]=OutputTable[[#This Row],[GroupByKey]]),(OutputTable[GroupByKey]=OutputTable[[#This Row],[GroupByKey]])*OutputTable[RecordedValue])),0)</f>
        <v>682.33333333333337</v>
      </c>
      <c r="L75" s="5" cm="1">
        <f t="array" ref="L75">IFERROR(_xlfn.STDEV.S(IF((OutputTable[GroupByKey]=OutputTable[[#This Row],[GroupByKey]]),(OutputTable[GroupByKey]=OutputTable[[#This Row],[GroupByKey]])*OutputTable[RecordedValue])),0)</f>
        <v>24.270506201238735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75" s="5" cm="1">
        <f t="array" ref="O75">MIN(IF((OutputTable[GroupByKey]=OutputTable[[#This Row],[GroupByKey]]),(OutputTable[GroupByKey]=OutputTable[[#This Row],[GroupByKey]])*OutputTable[RecordedValue]))</f>
        <v>636</v>
      </c>
      <c r="P75" s="5" cm="1">
        <f t="array" ref="P75">MAX(IF((OutputTable[GroupByKey]=OutputTable[[#This Row],[GroupByKey]]),(OutputTable[GroupByKey]=OutputTable[[#This Row],[GroupByKey]])*OutputTable[RecordedValue]))</f>
        <v>733</v>
      </c>
    </row>
    <row r="76" spans="1:16">
      <c r="A76" t="s">
        <v>67</v>
      </c>
      <c r="B76" t="s">
        <v>70</v>
      </c>
      <c r="C76">
        <v>11</v>
      </c>
      <c r="D76" t="s">
        <v>108</v>
      </c>
      <c r="E76" t="s">
        <v>109</v>
      </c>
      <c r="F76" t="s">
        <v>92</v>
      </c>
      <c r="G76">
        <v>0.83892969632854997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s="5" cm="1">
        <f t="array" ref="K76">IFERROR(AVERAGE(IF((OutputTable[GroupByKey]=OutputTable[[#This Row],[GroupByKey]]),(OutputTable[GroupByKey]=OutputTable[[#This Row],[GroupByKey]])*OutputTable[RecordedValue])),0)</f>
        <v>0.85304256406630496</v>
      </c>
      <c r="L76" s="5" cm="1">
        <f t="array" ref="L76">IFERROR(_xlfn.STDEV.S(IF((OutputTable[GroupByKey]=OutputTable[[#This Row],[GroupByKey]]),(OutputTable[GroupByKey]=OutputTable[[#This Row],[GroupByKey]])*OutputTable[RecordedValue])),0)</f>
        <v>2.975273171257193E-2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76" s="5" cm="1">
        <f t="array" ref="O76">MIN(IF((OutputTable[GroupByKey]=OutputTable[[#This Row],[GroupByKey]]),(OutputTable[GroupByKey]=OutputTable[[#This Row],[GroupByKey]])*OutputTable[RecordedValue]))</f>
        <v>0.79563957753275305</v>
      </c>
      <c r="P76" s="5" cm="1">
        <f t="array" ref="P76">MAX(IF((OutputTable[GroupByKey]=OutputTable[[#This Row],[GroupByKey]]),(OutputTable[GroupByKey]=OutputTable[[#This Row],[GroupByKey]])*OutputTable[RecordedValue]))</f>
        <v>0.91388224334429202</v>
      </c>
    </row>
    <row r="77" spans="1:16">
      <c r="A77" t="s">
        <v>67</v>
      </c>
      <c r="B77" t="s">
        <v>70</v>
      </c>
      <c r="C77">
        <v>11</v>
      </c>
      <c r="D77" t="s">
        <v>110</v>
      </c>
      <c r="E77" t="s">
        <v>107</v>
      </c>
      <c r="F77" t="s">
        <v>92</v>
      </c>
      <c r="G77">
        <v>669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s="5" cm="1">
        <f t="array" ref="K77">IFERROR(AVERAGE(IF((OutputTable[GroupByKey]=OutputTable[[#This Row],[GroupByKey]]),(OutputTable[GroupByKey]=OutputTable[[#This Row],[GroupByKey]])*OutputTable[RecordedValue])),0)</f>
        <v>680.6</v>
      </c>
      <c r="L77" s="5" cm="1">
        <f t="array" ref="L77">IFERROR(_xlfn.STDEV.S(IF((OutputTable[GroupByKey]=OutputTable[[#This Row],[GroupByKey]]),(OutputTable[GroupByKey]=OutputTable[[#This Row],[GroupByKey]])*OutputTable[RecordedValue])),0)</f>
        <v>24.37296410595857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77" s="5" cm="1">
        <f t="array" ref="O77">MIN(IF((OutputTable[GroupByKey]=OutputTable[[#This Row],[GroupByKey]]),(OutputTable[GroupByKey]=OutputTable[[#This Row],[GroupByKey]])*OutputTable[RecordedValue]))</f>
        <v>634</v>
      </c>
      <c r="P77" s="5" cm="1">
        <f t="array" ref="P77">MAX(IF((OutputTable[GroupByKey]=OutputTable[[#This Row],[GroupByKey]]),(OutputTable[GroupByKey]=OutputTable[[#This Row],[GroupByKey]])*OutputTable[RecordedValue]))</f>
        <v>731</v>
      </c>
    </row>
    <row r="78" spans="1:16">
      <c r="A78" t="s">
        <v>67</v>
      </c>
      <c r="B78" t="s">
        <v>70</v>
      </c>
      <c r="C78">
        <v>11</v>
      </c>
      <c r="D78" t="s">
        <v>111</v>
      </c>
      <c r="E78" t="s">
        <v>109</v>
      </c>
      <c r="F78" t="s">
        <v>92</v>
      </c>
      <c r="G78">
        <v>0.67987508291311505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s="5" cm="1">
        <f t="array" ref="K78">IFERROR(AVERAGE(IF((OutputTable[GroupByKey]=OutputTable[[#This Row],[GroupByKey]]),(OutputTable[GroupByKey]=OutputTable[[#This Row],[GroupByKey]])*OutputTable[RecordedValue])),0)</f>
        <v>0.6819541161040038</v>
      </c>
      <c r="L78" s="5" cm="1">
        <f t="array" ref="L78">IFERROR(_xlfn.STDEV.S(IF((OutputTable[GroupByKey]=OutputTable[[#This Row],[GroupByKey]]),(OutputTable[GroupByKey]=OutputTable[[#This Row],[GroupByKey]])*OutputTable[RecordedValue])),0)</f>
        <v>2.5427627669908321E-2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78" s="5" cm="1">
        <f t="array" ref="O78">MIN(IF((OutputTable[GroupByKey]=OutputTable[[#This Row],[GroupByKey]]),(OutputTable[GroupByKey]=OutputTable[[#This Row],[GroupByKey]])*OutputTable[RecordedValue]))</f>
        <v>0.62568527922134098</v>
      </c>
      <c r="P78" s="5" cm="1">
        <f t="array" ref="P78">MAX(IF((OutputTable[GroupByKey]=OutputTable[[#This Row],[GroupByKey]]),(OutputTable[GroupByKey]=OutputTable[[#This Row],[GroupByKey]])*OutputTable[RecordedValue]))</f>
        <v>0.72090720879040104</v>
      </c>
    </row>
    <row r="79" spans="1:16">
      <c r="A79" t="s">
        <v>67</v>
      </c>
      <c r="B79" t="s">
        <v>70</v>
      </c>
      <c r="C79">
        <v>12</v>
      </c>
      <c r="D79" t="s">
        <v>100</v>
      </c>
      <c r="E79" t="s">
        <v>101</v>
      </c>
      <c r="F79" t="s">
        <v>73</v>
      </c>
      <c r="G79">
        <v>702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ProjectEntity 1.NumberInNumber InEntity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s="5" cm="1">
        <f t="array" ref="K79">IFERROR(AVERAGE(IF((OutputTable[GroupByKey]=OutputTable[[#This Row],[GroupByKey]]),(OutputTable[GroupByKey]=OutputTable[[#This Row],[GroupByKey]])*OutputTable[RecordedValue])),0)</f>
        <v>684.23333333333335</v>
      </c>
      <c r="L79" s="5" cm="1">
        <f t="array" ref="L79">IFERROR(_xlfn.STDEV.S(IF((OutputTable[GroupByKey]=OutputTable[[#This Row],[GroupByKey]]),(OutputTable[GroupByKey]=OutputTable[[#This Row],[GroupByKey]])*OutputTable[RecordedValue])),0)</f>
        <v>24.542269424520363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79" s="5" cm="1">
        <f t="array" ref="O79">MIN(IF((OutputTable[GroupByKey]=OutputTable[[#This Row],[GroupByKey]]),(OutputTable[GroupByKey]=OutputTable[[#This Row],[GroupByKey]])*OutputTable[RecordedValue]))</f>
        <v>639</v>
      </c>
      <c r="P79" s="5" cm="1">
        <f t="array" ref="P79">MAX(IF((OutputTable[GroupByKey]=OutputTable[[#This Row],[GroupByKey]]),(OutputTable[GroupByKey]=OutputTable[[#This Row],[GroupByKey]])*OutputTable[RecordedValue]))</f>
        <v>740</v>
      </c>
    </row>
    <row r="80" spans="1:16">
      <c r="A80" t="s">
        <v>67</v>
      </c>
      <c r="B80" t="s">
        <v>70</v>
      </c>
      <c r="C80">
        <v>12</v>
      </c>
      <c r="D80" t="s">
        <v>102</v>
      </c>
      <c r="E80" t="s">
        <v>103</v>
      </c>
      <c r="F80" t="s">
        <v>73</v>
      </c>
      <c r="G80">
        <v>695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ProjectEntity 1.NumberOutNumber OutEntity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s="5" cm="1">
        <f t="array" ref="K80">IFERROR(AVERAGE(IF((OutputTable[GroupByKey]=OutputTable[[#This Row],[GroupByKey]]),(OutputTable[GroupByKey]=OutputTable[[#This Row],[GroupByKey]])*OutputTable[RecordedValue])),0)</f>
        <v>679.23333333333335</v>
      </c>
      <c r="L80" s="5" cm="1">
        <f t="array" ref="L80">IFERROR(_xlfn.STDEV.S(IF((OutputTable[GroupByKey]=OutputTable[[#This Row],[GroupByKey]]),(OutputTable[GroupByKey]=OutputTable[[#This Row],[GroupByKey]])*OutputTable[RecordedValue])),0)</f>
        <v>24.567547045158822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80" s="5" cm="1">
        <f t="array" ref="O80">MIN(IF((OutputTable[GroupByKey]=OutputTable[[#This Row],[GroupByKey]]),(OutputTable[GroupByKey]=OutputTable[[#This Row],[GroupByKey]])*OutputTable[RecordedValue]))</f>
        <v>632</v>
      </c>
      <c r="P80" s="5" cm="1">
        <f t="array" ref="P80">MAX(IF((OutputTable[GroupByKey]=OutputTable[[#This Row],[GroupByKey]]),(OutputTable[GroupByKey]=OutputTable[[#This Row],[GroupByKey]])*OutputTable[RecordedValue]))</f>
        <v>729</v>
      </c>
    </row>
    <row r="81" spans="1:16">
      <c r="A81" t="s">
        <v>67</v>
      </c>
      <c r="B81" t="s">
        <v>70</v>
      </c>
      <c r="C81">
        <v>12</v>
      </c>
      <c r="D81" t="s">
        <v>104</v>
      </c>
      <c r="E81" t="s">
        <v>103</v>
      </c>
      <c r="F81" t="s">
        <v>105</v>
      </c>
      <c r="G81">
        <v>695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ProjectSystem.NumberOutNumber OutSystem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s="5" cm="1">
        <f t="array" ref="K81">IFERROR(AVERAGE(IF((OutputTable[GroupByKey]=OutputTable[[#This Row],[GroupByKey]]),(OutputTable[GroupByKey]=OutputTable[[#This Row],[GroupByKey]])*OutputTable[RecordedValue])),0)</f>
        <v>679.23333333333335</v>
      </c>
      <c r="L81" s="5" cm="1">
        <f t="array" ref="L81">IFERROR(_xlfn.STDEV.S(IF((OutputTable[GroupByKey]=OutputTable[[#This Row],[GroupByKey]]),(OutputTable[GroupByKey]=OutputTable[[#This Row],[GroupByKey]])*OutputTable[RecordedValue])),0)</f>
        <v>24.567547045158822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81" s="5" cm="1">
        <f t="array" ref="O81">MIN(IF((OutputTable[GroupByKey]=OutputTable[[#This Row],[GroupByKey]]),(OutputTable[GroupByKey]=OutputTable[[#This Row],[GroupByKey]])*OutputTable[RecordedValue]))</f>
        <v>632</v>
      </c>
      <c r="P81" s="5" cm="1">
        <f t="array" ref="P81">MAX(IF((OutputTable[GroupByKey]=OutputTable[[#This Row],[GroupByKey]]),(OutputTable[GroupByKey]=OutputTable[[#This Row],[GroupByKey]])*OutputTable[RecordedValue]))</f>
        <v>729</v>
      </c>
    </row>
    <row r="82" spans="1:16">
      <c r="A82" t="s">
        <v>67</v>
      </c>
      <c r="B82" t="s">
        <v>70</v>
      </c>
      <c r="C82">
        <v>12</v>
      </c>
      <c r="D82" t="s">
        <v>106</v>
      </c>
      <c r="E82" t="s">
        <v>107</v>
      </c>
      <c r="F82" t="s">
        <v>92</v>
      </c>
      <c r="G82">
        <v>699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s="5" cm="1">
        <f t="array" ref="K82">IFERROR(AVERAGE(IF((OutputTable[GroupByKey]=OutputTable[[#This Row],[GroupByKey]]),(OutputTable[GroupByKey]=OutputTable[[#This Row],[GroupByKey]])*OutputTable[RecordedValue])),0)</f>
        <v>682.33333333333337</v>
      </c>
      <c r="L82" s="5" cm="1">
        <f t="array" ref="L82">IFERROR(_xlfn.STDEV.S(IF((OutputTable[GroupByKey]=OutputTable[[#This Row],[GroupByKey]]),(OutputTable[GroupByKey]=OutputTable[[#This Row],[GroupByKey]])*OutputTable[RecordedValue])),0)</f>
        <v>24.270506201238735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82" s="5" cm="1">
        <f t="array" ref="O82">MIN(IF((OutputTable[GroupByKey]=OutputTable[[#This Row],[GroupByKey]]),(OutputTable[GroupByKey]=OutputTable[[#This Row],[GroupByKey]])*OutputTable[RecordedValue]))</f>
        <v>636</v>
      </c>
      <c r="P82" s="5" cm="1">
        <f t="array" ref="P82">MAX(IF((OutputTable[GroupByKey]=OutputTable[[#This Row],[GroupByKey]]),(OutputTable[GroupByKey]=OutputTable[[#This Row],[GroupByKey]])*OutputTable[RecordedValue]))</f>
        <v>733</v>
      </c>
    </row>
    <row r="83" spans="1:16">
      <c r="A83" t="s">
        <v>67</v>
      </c>
      <c r="B83" t="s">
        <v>70</v>
      </c>
      <c r="C83">
        <v>12</v>
      </c>
      <c r="D83" t="s">
        <v>108</v>
      </c>
      <c r="E83" t="s">
        <v>109</v>
      </c>
      <c r="F83" t="s">
        <v>92</v>
      </c>
      <c r="G83">
        <v>0.87898790834991003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s="5" cm="1">
        <f t="array" ref="K83">IFERROR(AVERAGE(IF((OutputTable[GroupByKey]=OutputTable[[#This Row],[GroupByKey]]),(OutputTable[GroupByKey]=OutputTable[[#This Row],[GroupByKey]])*OutputTable[RecordedValue])),0)</f>
        <v>0.85304256406630496</v>
      </c>
      <c r="L83" s="5" cm="1">
        <f t="array" ref="L83">IFERROR(_xlfn.STDEV.S(IF((OutputTable[GroupByKey]=OutputTable[[#This Row],[GroupByKey]]),(OutputTable[GroupByKey]=OutputTable[[#This Row],[GroupByKey]])*OutputTable[RecordedValue])),0)</f>
        <v>2.975273171257193E-2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83" s="5" cm="1">
        <f t="array" ref="O83">MIN(IF((OutputTable[GroupByKey]=OutputTable[[#This Row],[GroupByKey]]),(OutputTable[GroupByKey]=OutputTable[[#This Row],[GroupByKey]])*OutputTable[RecordedValue]))</f>
        <v>0.79563957753275305</v>
      </c>
      <c r="P83" s="5" cm="1">
        <f t="array" ref="P83">MAX(IF((OutputTable[GroupByKey]=OutputTable[[#This Row],[GroupByKey]]),(OutputTable[GroupByKey]=OutputTable[[#This Row],[GroupByKey]])*OutputTable[RecordedValue]))</f>
        <v>0.91388224334429202</v>
      </c>
    </row>
    <row r="84" spans="1:16">
      <c r="A84" t="s">
        <v>67</v>
      </c>
      <c r="B84" t="s">
        <v>70</v>
      </c>
      <c r="C84">
        <v>12</v>
      </c>
      <c r="D84" t="s">
        <v>110</v>
      </c>
      <c r="E84" t="s">
        <v>107</v>
      </c>
      <c r="F84" t="s">
        <v>92</v>
      </c>
      <c r="G84">
        <v>697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s="5" cm="1">
        <f t="array" ref="K84">IFERROR(AVERAGE(IF((OutputTable[GroupByKey]=OutputTable[[#This Row],[GroupByKey]]),(OutputTable[GroupByKey]=OutputTable[[#This Row],[GroupByKey]])*OutputTable[RecordedValue])),0)</f>
        <v>680.6</v>
      </c>
      <c r="L84" s="5" cm="1">
        <f t="array" ref="L84">IFERROR(_xlfn.STDEV.S(IF((OutputTable[GroupByKey]=OutputTable[[#This Row],[GroupByKey]]),(OutputTable[GroupByKey]=OutputTable[[#This Row],[GroupByKey]])*OutputTable[RecordedValue])),0)</f>
        <v>24.37296410595857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84" s="5" cm="1">
        <f t="array" ref="O84">MIN(IF((OutputTable[GroupByKey]=OutputTable[[#This Row],[GroupByKey]]),(OutputTable[GroupByKey]=OutputTable[[#This Row],[GroupByKey]])*OutputTable[RecordedValue]))</f>
        <v>634</v>
      </c>
      <c r="P84" s="5" cm="1">
        <f t="array" ref="P84">MAX(IF((OutputTable[GroupByKey]=OutputTable[[#This Row],[GroupByKey]]),(OutputTable[GroupByKey]=OutputTable[[#This Row],[GroupByKey]])*OutputTable[RecordedValue]))</f>
        <v>731</v>
      </c>
    </row>
    <row r="85" spans="1:16">
      <c r="A85" t="s">
        <v>67</v>
      </c>
      <c r="B85" t="s">
        <v>70</v>
      </c>
      <c r="C85">
        <v>12</v>
      </c>
      <c r="D85" t="s">
        <v>111</v>
      </c>
      <c r="E85" t="s">
        <v>109</v>
      </c>
      <c r="F85" t="s">
        <v>92</v>
      </c>
      <c r="G85">
        <v>0.69940031352311405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s="5" cm="1">
        <f t="array" ref="K85">IFERROR(AVERAGE(IF((OutputTable[GroupByKey]=OutputTable[[#This Row],[GroupByKey]]),(OutputTable[GroupByKey]=OutputTable[[#This Row],[GroupByKey]])*OutputTable[RecordedValue])),0)</f>
        <v>0.6819541161040038</v>
      </c>
      <c r="L85" s="5" cm="1">
        <f t="array" ref="L85">IFERROR(_xlfn.STDEV.S(IF((OutputTable[GroupByKey]=OutputTable[[#This Row],[GroupByKey]]),(OutputTable[GroupByKey]=OutputTable[[#This Row],[GroupByKey]])*OutputTable[RecordedValue])),0)</f>
        <v>2.5427627669908321E-2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85" s="5" cm="1">
        <f t="array" ref="O85">MIN(IF((OutputTable[GroupByKey]=OutputTable[[#This Row],[GroupByKey]]),(OutputTable[GroupByKey]=OutputTable[[#This Row],[GroupByKey]])*OutputTable[RecordedValue]))</f>
        <v>0.62568527922134098</v>
      </c>
      <c r="P85" s="5" cm="1">
        <f t="array" ref="P85">MAX(IF((OutputTable[GroupByKey]=OutputTable[[#This Row],[GroupByKey]]),(OutputTable[GroupByKey]=OutputTable[[#This Row],[GroupByKey]])*OutputTable[RecordedValue]))</f>
        <v>0.72090720879040104</v>
      </c>
    </row>
    <row r="86" spans="1:16">
      <c r="A86" t="s">
        <v>67</v>
      </c>
      <c r="B86" t="s">
        <v>70</v>
      </c>
      <c r="C86">
        <v>13</v>
      </c>
      <c r="D86" t="s">
        <v>100</v>
      </c>
      <c r="E86" t="s">
        <v>101</v>
      </c>
      <c r="F86" t="s">
        <v>73</v>
      </c>
      <c r="G86">
        <v>651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ProjectEntity 1.NumberInNumber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s="5" cm="1">
        <f t="array" ref="K86">IFERROR(AVERAGE(IF((OutputTable[GroupByKey]=OutputTable[[#This Row],[GroupByKey]]),(OutputTable[GroupByKey]=OutputTable[[#This Row],[GroupByKey]])*OutputTable[RecordedValue])),0)</f>
        <v>684.23333333333335</v>
      </c>
      <c r="L86" s="5" cm="1">
        <f t="array" ref="L86">IFERROR(_xlfn.STDEV.S(IF((OutputTable[GroupByKey]=OutputTable[[#This Row],[GroupByKey]]),(OutputTable[GroupByKey]=OutputTable[[#This Row],[GroupByKey]])*OutputTable[RecordedValue])),0)</f>
        <v>24.542269424520363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86" s="5" cm="1">
        <f t="array" ref="O86">MIN(IF((OutputTable[GroupByKey]=OutputTable[[#This Row],[GroupByKey]]),(OutputTable[GroupByKey]=OutputTable[[#This Row],[GroupByKey]])*OutputTable[RecordedValue]))</f>
        <v>639</v>
      </c>
      <c r="P86" s="5" cm="1">
        <f t="array" ref="P86">MAX(IF((OutputTable[GroupByKey]=OutputTable[[#This Row],[GroupByKey]]),(OutputTable[GroupByKey]=OutputTable[[#This Row],[GroupByKey]])*OutputTable[RecordedValue]))</f>
        <v>740</v>
      </c>
    </row>
    <row r="87" spans="1:16">
      <c r="A87" t="s">
        <v>67</v>
      </c>
      <c r="B87" t="s">
        <v>70</v>
      </c>
      <c r="C87">
        <v>13</v>
      </c>
      <c r="D87" t="s">
        <v>102</v>
      </c>
      <c r="E87" t="s">
        <v>103</v>
      </c>
      <c r="F87" t="s">
        <v>73</v>
      </c>
      <c r="G87">
        <v>646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ProjectEntity 1.NumberOutNumber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s="5" cm="1">
        <f t="array" ref="K87">IFERROR(AVERAGE(IF((OutputTable[GroupByKey]=OutputTable[[#This Row],[GroupByKey]]),(OutputTable[GroupByKey]=OutputTable[[#This Row],[GroupByKey]])*OutputTable[RecordedValue])),0)</f>
        <v>679.23333333333335</v>
      </c>
      <c r="L87" s="5" cm="1">
        <f t="array" ref="L87">IFERROR(_xlfn.STDEV.S(IF((OutputTable[GroupByKey]=OutputTable[[#This Row],[GroupByKey]]),(OutputTable[GroupByKey]=OutputTable[[#This Row],[GroupByKey]])*OutputTable[RecordedValue])),0)</f>
        <v>24.567547045158822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87" s="5" cm="1">
        <f t="array" ref="O87">MIN(IF((OutputTable[GroupByKey]=OutputTable[[#This Row],[GroupByKey]]),(OutputTable[GroupByKey]=OutputTable[[#This Row],[GroupByKey]])*OutputTable[RecordedValue]))</f>
        <v>632</v>
      </c>
      <c r="P87" s="5" cm="1">
        <f t="array" ref="P87">MAX(IF((OutputTable[GroupByKey]=OutputTable[[#This Row],[GroupByKey]]),(OutputTable[GroupByKey]=OutputTable[[#This Row],[GroupByKey]])*OutputTable[RecordedValue]))</f>
        <v>729</v>
      </c>
    </row>
    <row r="88" spans="1:16">
      <c r="A88" t="s">
        <v>67</v>
      </c>
      <c r="B88" t="s">
        <v>70</v>
      </c>
      <c r="C88">
        <v>13</v>
      </c>
      <c r="D88" t="s">
        <v>104</v>
      </c>
      <c r="E88" t="s">
        <v>103</v>
      </c>
      <c r="F88" t="s">
        <v>105</v>
      </c>
      <c r="G88">
        <v>646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ProjectSystem.NumberOutNumber OutSystem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s="5" cm="1">
        <f t="array" ref="K88">IFERROR(AVERAGE(IF((OutputTable[GroupByKey]=OutputTable[[#This Row],[GroupByKey]]),(OutputTable[GroupByKey]=OutputTable[[#This Row],[GroupByKey]])*OutputTable[RecordedValue])),0)</f>
        <v>679.23333333333335</v>
      </c>
      <c r="L88" s="5" cm="1">
        <f t="array" ref="L88">IFERROR(_xlfn.STDEV.S(IF((OutputTable[GroupByKey]=OutputTable[[#This Row],[GroupByKey]]),(OutputTable[GroupByKey]=OutputTable[[#This Row],[GroupByKey]])*OutputTable[RecordedValue])),0)</f>
        <v>24.567547045158822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88" s="5" cm="1">
        <f t="array" ref="O88">MIN(IF((OutputTable[GroupByKey]=OutputTable[[#This Row],[GroupByKey]]),(OutputTable[GroupByKey]=OutputTable[[#This Row],[GroupByKey]])*OutputTable[RecordedValue]))</f>
        <v>632</v>
      </c>
      <c r="P88" s="5" cm="1">
        <f t="array" ref="P88">MAX(IF((OutputTable[GroupByKey]=OutputTable[[#This Row],[GroupByKey]]),(OutputTable[GroupByKey]=OutputTable[[#This Row],[GroupByKey]])*OutputTable[RecordedValue]))</f>
        <v>729</v>
      </c>
    </row>
    <row r="89" spans="1:16">
      <c r="A89" t="s">
        <v>67</v>
      </c>
      <c r="B89" t="s">
        <v>70</v>
      </c>
      <c r="C89">
        <v>13</v>
      </c>
      <c r="D89" t="s">
        <v>106</v>
      </c>
      <c r="E89" t="s">
        <v>107</v>
      </c>
      <c r="F89" t="s">
        <v>92</v>
      </c>
      <c r="G89">
        <v>650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s="5" cm="1">
        <f t="array" ref="K89">IFERROR(AVERAGE(IF((OutputTable[GroupByKey]=OutputTable[[#This Row],[GroupByKey]]),(OutputTable[GroupByKey]=OutputTable[[#This Row],[GroupByKey]])*OutputTable[RecordedValue])),0)</f>
        <v>682.33333333333337</v>
      </c>
      <c r="L89" s="5" cm="1">
        <f t="array" ref="L89">IFERROR(_xlfn.STDEV.S(IF((OutputTable[GroupByKey]=OutputTable[[#This Row],[GroupByKey]]),(OutputTable[GroupByKey]=OutputTable[[#This Row],[GroupByKey]])*OutputTable[RecordedValue])),0)</f>
        <v>24.270506201238735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89" s="5" cm="1">
        <f t="array" ref="O89">MIN(IF((OutputTable[GroupByKey]=OutputTable[[#This Row],[GroupByKey]]),(OutputTable[GroupByKey]=OutputTable[[#This Row],[GroupByKey]])*OutputTable[RecordedValue]))</f>
        <v>636</v>
      </c>
      <c r="P89" s="5" cm="1">
        <f t="array" ref="P89">MAX(IF((OutputTable[GroupByKey]=OutputTable[[#This Row],[GroupByKey]]),(OutputTable[GroupByKey]=OutputTable[[#This Row],[GroupByKey]])*OutputTable[RecordedValue]))</f>
        <v>733</v>
      </c>
    </row>
    <row r="90" spans="1:16">
      <c r="A90" t="s">
        <v>67</v>
      </c>
      <c r="B90" t="s">
        <v>70</v>
      </c>
      <c r="C90">
        <v>13</v>
      </c>
      <c r="D90" t="s">
        <v>108</v>
      </c>
      <c r="E90" t="s">
        <v>109</v>
      </c>
      <c r="F90" t="s">
        <v>92</v>
      </c>
      <c r="G90">
        <v>0.82024486165129495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s="5" cm="1">
        <f t="array" ref="K90">IFERROR(AVERAGE(IF((OutputTable[GroupByKey]=OutputTable[[#This Row],[GroupByKey]]),(OutputTable[GroupByKey]=OutputTable[[#This Row],[GroupByKey]])*OutputTable[RecordedValue])),0)</f>
        <v>0.85304256406630496</v>
      </c>
      <c r="L90" s="5" cm="1">
        <f t="array" ref="L90">IFERROR(_xlfn.STDEV.S(IF((OutputTable[GroupByKey]=OutputTable[[#This Row],[GroupByKey]]),(OutputTable[GroupByKey]=OutputTable[[#This Row],[GroupByKey]])*OutputTable[RecordedValue])),0)</f>
        <v>2.975273171257193E-2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90" s="5" cm="1">
        <f t="array" ref="O90">MIN(IF((OutputTable[GroupByKey]=OutputTable[[#This Row],[GroupByKey]]),(OutputTable[GroupByKey]=OutputTable[[#This Row],[GroupByKey]])*OutputTable[RecordedValue]))</f>
        <v>0.79563957753275305</v>
      </c>
      <c r="P90" s="5" cm="1">
        <f t="array" ref="P90">MAX(IF((OutputTable[GroupByKey]=OutputTable[[#This Row],[GroupByKey]]),(OutputTable[GroupByKey]=OutputTable[[#This Row],[GroupByKey]])*OutputTable[RecordedValue]))</f>
        <v>0.91388224334429202</v>
      </c>
    </row>
    <row r="91" spans="1:16">
      <c r="A91" t="s">
        <v>67</v>
      </c>
      <c r="B91" t="s">
        <v>70</v>
      </c>
      <c r="C91">
        <v>13</v>
      </c>
      <c r="D91" t="s">
        <v>110</v>
      </c>
      <c r="E91" t="s">
        <v>107</v>
      </c>
      <c r="F91" t="s">
        <v>92</v>
      </c>
      <c r="G91">
        <v>648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s="5" cm="1">
        <f t="array" ref="K91">IFERROR(AVERAGE(IF((OutputTable[GroupByKey]=OutputTable[[#This Row],[GroupByKey]]),(OutputTable[GroupByKey]=OutputTable[[#This Row],[GroupByKey]])*OutputTable[RecordedValue])),0)</f>
        <v>680.6</v>
      </c>
      <c r="L91" s="5" cm="1">
        <f t="array" ref="L91">IFERROR(_xlfn.STDEV.S(IF((OutputTable[GroupByKey]=OutputTable[[#This Row],[GroupByKey]]),(OutputTable[GroupByKey]=OutputTable[[#This Row],[GroupByKey]])*OutputTable[RecordedValue])),0)</f>
        <v>24.37296410595857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91" s="5" cm="1">
        <f t="array" ref="O91">MIN(IF((OutputTable[GroupByKey]=OutputTable[[#This Row],[GroupByKey]]),(OutputTable[GroupByKey]=OutputTable[[#This Row],[GroupByKey]])*OutputTable[RecordedValue]))</f>
        <v>634</v>
      </c>
      <c r="P91" s="5" cm="1">
        <f t="array" ref="P91">MAX(IF((OutputTable[GroupByKey]=OutputTable[[#This Row],[GroupByKey]]),(OutputTable[GroupByKey]=OutputTable[[#This Row],[GroupByKey]])*OutputTable[RecordedValue]))</f>
        <v>731</v>
      </c>
    </row>
    <row r="92" spans="1:16">
      <c r="A92" t="s">
        <v>67</v>
      </c>
      <c r="B92" t="s">
        <v>70</v>
      </c>
      <c r="C92">
        <v>13</v>
      </c>
      <c r="D92" t="s">
        <v>111</v>
      </c>
      <c r="E92" t="s">
        <v>109</v>
      </c>
      <c r="F92" t="s">
        <v>92</v>
      </c>
      <c r="G92">
        <v>0.63597480289866404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s="5" cm="1">
        <f t="array" ref="K92">IFERROR(AVERAGE(IF((OutputTable[GroupByKey]=OutputTable[[#This Row],[GroupByKey]]),(OutputTable[GroupByKey]=OutputTable[[#This Row],[GroupByKey]])*OutputTable[RecordedValue])),0)</f>
        <v>0.6819541161040038</v>
      </c>
      <c r="L92" s="5" cm="1">
        <f t="array" ref="L92">IFERROR(_xlfn.STDEV.S(IF((OutputTable[GroupByKey]=OutputTable[[#This Row],[GroupByKey]]),(OutputTable[GroupByKey]=OutputTable[[#This Row],[GroupByKey]])*OutputTable[RecordedValue])),0)</f>
        <v>2.5427627669908321E-2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92" s="5" cm="1">
        <f t="array" ref="O92">MIN(IF((OutputTable[GroupByKey]=OutputTable[[#This Row],[GroupByKey]]),(OutputTable[GroupByKey]=OutputTable[[#This Row],[GroupByKey]])*OutputTable[RecordedValue]))</f>
        <v>0.62568527922134098</v>
      </c>
      <c r="P92" s="5" cm="1">
        <f t="array" ref="P92">MAX(IF((OutputTable[GroupByKey]=OutputTable[[#This Row],[GroupByKey]]),(OutputTable[GroupByKey]=OutputTable[[#This Row],[GroupByKey]])*OutputTable[RecordedValue]))</f>
        <v>0.72090720879040104</v>
      </c>
    </row>
    <row r="93" spans="1:16">
      <c r="A93" t="s">
        <v>67</v>
      </c>
      <c r="B93" t="s">
        <v>70</v>
      </c>
      <c r="C93">
        <v>14</v>
      </c>
      <c r="D93" t="s">
        <v>100</v>
      </c>
      <c r="E93" t="s">
        <v>101</v>
      </c>
      <c r="F93" t="s">
        <v>73</v>
      </c>
      <c r="G93">
        <v>699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ProjectEntity 1.NumberInNumber InEntity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s="5" cm="1">
        <f t="array" ref="K93">IFERROR(AVERAGE(IF((OutputTable[GroupByKey]=OutputTable[[#This Row],[GroupByKey]]),(OutputTable[GroupByKey]=OutputTable[[#This Row],[GroupByKey]])*OutputTable[RecordedValue])),0)</f>
        <v>684.23333333333335</v>
      </c>
      <c r="L93" s="5" cm="1">
        <f t="array" ref="L93">IFERROR(_xlfn.STDEV.S(IF((OutputTable[GroupByKey]=OutputTable[[#This Row],[GroupByKey]]),(OutputTable[GroupByKey]=OutputTable[[#This Row],[GroupByKey]])*OutputTable[RecordedValue])),0)</f>
        <v>24.542269424520363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93" s="5" cm="1">
        <f t="array" ref="O93">MIN(IF((OutputTable[GroupByKey]=OutputTable[[#This Row],[GroupByKey]]),(OutputTable[GroupByKey]=OutputTable[[#This Row],[GroupByKey]])*OutputTable[RecordedValue]))</f>
        <v>639</v>
      </c>
      <c r="P93" s="5" cm="1">
        <f t="array" ref="P93">MAX(IF((OutputTable[GroupByKey]=OutputTable[[#This Row],[GroupByKey]]),(OutputTable[GroupByKey]=OutputTable[[#This Row],[GroupByKey]])*OutputTable[RecordedValue]))</f>
        <v>740</v>
      </c>
    </row>
    <row r="94" spans="1:16">
      <c r="A94" t="s">
        <v>67</v>
      </c>
      <c r="B94" t="s">
        <v>70</v>
      </c>
      <c r="C94">
        <v>14</v>
      </c>
      <c r="D94" t="s">
        <v>102</v>
      </c>
      <c r="E94" t="s">
        <v>103</v>
      </c>
      <c r="F94" t="s">
        <v>73</v>
      </c>
      <c r="G94">
        <v>690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ProjectEntity 1.NumberOutNumber OutEntity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s="5" cm="1">
        <f t="array" ref="K94">IFERROR(AVERAGE(IF((OutputTable[GroupByKey]=OutputTable[[#This Row],[GroupByKey]]),(OutputTable[GroupByKey]=OutputTable[[#This Row],[GroupByKey]])*OutputTable[RecordedValue])),0)</f>
        <v>679.23333333333335</v>
      </c>
      <c r="L94" s="5" cm="1">
        <f t="array" ref="L94">IFERROR(_xlfn.STDEV.S(IF((OutputTable[GroupByKey]=OutputTable[[#This Row],[GroupByKey]]),(OutputTable[GroupByKey]=OutputTable[[#This Row],[GroupByKey]])*OutputTable[RecordedValue])),0)</f>
        <v>24.567547045158822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94" s="5" cm="1">
        <f t="array" ref="O94">MIN(IF((OutputTable[GroupByKey]=OutputTable[[#This Row],[GroupByKey]]),(OutputTable[GroupByKey]=OutputTable[[#This Row],[GroupByKey]])*OutputTable[RecordedValue]))</f>
        <v>632</v>
      </c>
      <c r="P94" s="5" cm="1">
        <f t="array" ref="P94">MAX(IF((OutputTable[GroupByKey]=OutputTable[[#This Row],[GroupByKey]]),(OutputTable[GroupByKey]=OutputTable[[#This Row],[GroupByKey]])*OutputTable[RecordedValue]))</f>
        <v>729</v>
      </c>
    </row>
    <row r="95" spans="1:16">
      <c r="A95" t="s">
        <v>67</v>
      </c>
      <c r="B95" t="s">
        <v>70</v>
      </c>
      <c r="C95">
        <v>14</v>
      </c>
      <c r="D95" t="s">
        <v>104</v>
      </c>
      <c r="E95" t="s">
        <v>103</v>
      </c>
      <c r="F95" t="s">
        <v>105</v>
      </c>
      <c r="G95">
        <v>690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ProjectSystem.NumberOutNumber OutSystem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s="5" cm="1">
        <f t="array" ref="K95">IFERROR(AVERAGE(IF((OutputTable[GroupByKey]=OutputTable[[#This Row],[GroupByKey]]),(OutputTable[GroupByKey]=OutputTable[[#This Row],[GroupByKey]])*OutputTable[RecordedValue])),0)</f>
        <v>679.23333333333335</v>
      </c>
      <c r="L95" s="5" cm="1">
        <f t="array" ref="L95">IFERROR(_xlfn.STDEV.S(IF((OutputTable[GroupByKey]=OutputTable[[#This Row],[GroupByKey]]),(OutputTable[GroupByKey]=OutputTable[[#This Row],[GroupByKey]])*OutputTable[RecordedValue])),0)</f>
        <v>24.567547045158822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95" s="5" cm="1">
        <f t="array" ref="O95">MIN(IF((OutputTable[GroupByKey]=OutputTable[[#This Row],[GroupByKey]]),(OutputTable[GroupByKey]=OutputTable[[#This Row],[GroupByKey]])*OutputTable[RecordedValue]))</f>
        <v>632</v>
      </c>
      <c r="P95" s="5" cm="1">
        <f t="array" ref="P95">MAX(IF((OutputTable[GroupByKey]=OutputTable[[#This Row],[GroupByKey]]),(OutputTable[GroupByKey]=OutputTable[[#This Row],[GroupByKey]])*OutputTable[RecordedValue]))</f>
        <v>729</v>
      </c>
    </row>
    <row r="96" spans="1:16">
      <c r="A96" t="s">
        <v>67</v>
      </c>
      <c r="B96" t="s">
        <v>70</v>
      </c>
      <c r="C96">
        <v>14</v>
      </c>
      <c r="D96" t="s">
        <v>106</v>
      </c>
      <c r="E96" t="s">
        <v>107</v>
      </c>
      <c r="F96" t="s">
        <v>92</v>
      </c>
      <c r="G96">
        <v>693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s="5" cm="1">
        <f t="array" ref="K96">IFERROR(AVERAGE(IF((OutputTable[GroupByKey]=OutputTable[[#This Row],[GroupByKey]]),(OutputTable[GroupByKey]=OutputTable[[#This Row],[GroupByKey]])*OutputTable[RecordedValue])),0)</f>
        <v>682.33333333333337</v>
      </c>
      <c r="L96" s="5" cm="1">
        <f t="array" ref="L96">IFERROR(_xlfn.STDEV.S(IF((OutputTable[GroupByKey]=OutputTable[[#This Row],[GroupByKey]]),(OutputTable[GroupByKey]=OutputTable[[#This Row],[GroupByKey]])*OutputTable[RecordedValue])),0)</f>
        <v>24.270506201238735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96" s="5" cm="1">
        <f t="array" ref="O96">MIN(IF((OutputTable[GroupByKey]=OutputTable[[#This Row],[GroupByKey]]),(OutputTable[GroupByKey]=OutputTable[[#This Row],[GroupByKey]])*OutputTable[RecordedValue]))</f>
        <v>636</v>
      </c>
      <c r="P96" s="5" cm="1">
        <f t="array" ref="P96">MAX(IF((OutputTable[GroupByKey]=OutputTable[[#This Row],[GroupByKey]]),(OutputTable[GroupByKey]=OutputTable[[#This Row],[GroupByKey]])*OutputTable[RecordedValue]))</f>
        <v>733</v>
      </c>
    </row>
    <row r="97" spans="1:16">
      <c r="A97" t="s">
        <v>67</v>
      </c>
      <c r="B97" t="s">
        <v>70</v>
      </c>
      <c r="C97">
        <v>14</v>
      </c>
      <c r="D97" t="s">
        <v>108</v>
      </c>
      <c r="E97" t="s">
        <v>109</v>
      </c>
      <c r="F97" t="s">
        <v>92</v>
      </c>
      <c r="G97">
        <v>0.86909862719891795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s="5" cm="1">
        <f t="array" ref="K97">IFERROR(AVERAGE(IF((OutputTable[GroupByKey]=OutputTable[[#This Row],[GroupByKey]]),(OutputTable[GroupByKey]=OutputTable[[#This Row],[GroupByKey]])*OutputTable[RecordedValue])),0)</f>
        <v>0.85304256406630496</v>
      </c>
      <c r="L97" s="5" cm="1">
        <f t="array" ref="L97">IFERROR(_xlfn.STDEV.S(IF((OutputTable[GroupByKey]=OutputTable[[#This Row],[GroupByKey]]),(OutputTable[GroupByKey]=OutputTable[[#This Row],[GroupByKey]])*OutputTable[RecordedValue])),0)</f>
        <v>2.975273171257193E-2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97" s="5" cm="1">
        <f t="array" ref="O97">MIN(IF((OutputTable[GroupByKey]=OutputTable[[#This Row],[GroupByKey]]),(OutputTable[GroupByKey]=OutputTable[[#This Row],[GroupByKey]])*OutputTable[RecordedValue]))</f>
        <v>0.79563957753275305</v>
      </c>
      <c r="P97" s="5" cm="1">
        <f t="array" ref="P97">MAX(IF((OutputTable[GroupByKey]=OutputTable[[#This Row],[GroupByKey]]),(OutputTable[GroupByKey]=OutputTable[[#This Row],[GroupByKey]])*OutputTable[RecordedValue]))</f>
        <v>0.91388224334429202</v>
      </c>
    </row>
    <row r="98" spans="1:16">
      <c r="A98" t="s">
        <v>67</v>
      </c>
      <c r="B98" t="s">
        <v>70</v>
      </c>
      <c r="C98">
        <v>14</v>
      </c>
      <c r="D98" t="s">
        <v>110</v>
      </c>
      <c r="E98" t="s">
        <v>107</v>
      </c>
      <c r="F98" t="s">
        <v>92</v>
      </c>
      <c r="G98">
        <v>691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s="5" cm="1">
        <f t="array" ref="K98">IFERROR(AVERAGE(IF((OutputTable[GroupByKey]=OutputTable[[#This Row],[GroupByKey]]),(OutputTable[GroupByKey]=OutputTable[[#This Row],[GroupByKey]])*OutputTable[RecordedValue])),0)</f>
        <v>680.6</v>
      </c>
      <c r="L98" s="5" cm="1">
        <f t="array" ref="L98">IFERROR(_xlfn.STDEV.S(IF((OutputTable[GroupByKey]=OutputTable[[#This Row],[GroupByKey]]),(OutputTable[GroupByKey]=OutputTable[[#This Row],[GroupByKey]])*OutputTable[RecordedValue])),0)</f>
        <v>24.37296410595857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98" s="5" cm="1">
        <f t="array" ref="O98">MIN(IF((OutputTable[GroupByKey]=OutputTable[[#This Row],[GroupByKey]]),(OutputTable[GroupByKey]=OutputTable[[#This Row],[GroupByKey]])*OutputTable[RecordedValue]))</f>
        <v>634</v>
      </c>
      <c r="P98" s="5" cm="1">
        <f t="array" ref="P98">MAX(IF((OutputTable[GroupByKey]=OutputTable[[#This Row],[GroupByKey]]),(OutputTable[GroupByKey]=OutputTable[[#This Row],[GroupByKey]])*OutputTable[RecordedValue]))</f>
        <v>731</v>
      </c>
    </row>
    <row r="99" spans="1:16">
      <c r="A99" t="s">
        <v>67</v>
      </c>
      <c r="B99" t="s">
        <v>70</v>
      </c>
      <c r="C99">
        <v>14</v>
      </c>
      <c r="D99" t="s">
        <v>111</v>
      </c>
      <c r="E99" t="s">
        <v>109</v>
      </c>
      <c r="F99" t="s">
        <v>92</v>
      </c>
      <c r="G99">
        <v>0.69131394518790701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s="5" cm="1">
        <f t="array" ref="K99">IFERROR(AVERAGE(IF((OutputTable[GroupByKey]=OutputTable[[#This Row],[GroupByKey]]),(OutputTable[GroupByKey]=OutputTable[[#This Row],[GroupByKey]])*OutputTable[RecordedValue])),0)</f>
        <v>0.6819541161040038</v>
      </c>
      <c r="L99" s="5" cm="1">
        <f t="array" ref="L99">IFERROR(_xlfn.STDEV.S(IF((OutputTable[GroupByKey]=OutputTable[[#This Row],[GroupByKey]]),(OutputTable[GroupByKey]=OutputTable[[#This Row],[GroupByKey]])*OutputTable[RecordedValue])),0)</f>
        <v>2.5427627669908321E-2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99" s="5" cm="1">
        <f t="array" ref="O99">MIN(IF((OutputTable[GroupByKey]=OutputTable[[#This Row],[GroupByKey]]),(OutputTable[GroupByKey]=OutputTable[[#This Row],[GroupByKey]])*OutputTable[RecordedValue]))</f>
        <v>0.62568527922134098</v>
      </c>
      <c r="P99" s="5" cm="1">
        <f t="array" ref="P99">MAX(IF((OutputTable[GroupByKey]=OutputTable[[#This Row],[GroupByKey]]),(OutputTable[GroupByKey]=OutputTable[[#This Row],[GroupByKey]])*OutputTable[RecordedValue]))</f>
        <v>0.72090720879040104</v>
      </c>
    </row>
    <row r="100" spans="1:16">
      <c r="A100" t="s">
        <v>67</v>
      </c>
      <c r="B100" t="s">
        <v>70</v>
      </c>
      <c r="C100">
        <v>15</v>
      </c>
      <c r="D100" t="s">
        <v>100</v>
      </c>
      <c r="E100" t="s">
        <v>101</v>
      </c>
      <c r="F100" t="s">
        <v>73</v>
      </c>
      <c r="G100">
        <v>700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ProjectEntity 1.NumberInNumber InEntity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s="5" cm="1">
        <f t="array" ref="K100">IFERROR(AVERAGE(IF((OutputTable[GroupByKey]=OutputTable[[#This Row],[GroupByKey]]),(OutputTable[GroupByKey]=OutputTable[[#This Row],[GroupByKey]])*OutputTable[RecordedValue])),0)</f>
        <v>684.23333333333335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24.542269424520363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00" s="5" cm="1">
        <f t="array" ref="O100">MIN(IF((OutputTable[GroupByKey]=OutputTable[[#This Row],[GroupByKey]]),(OutputTable[GroupByKey]=OutputTable[[#This Row],[GroupByKey]])*OutputTable[RecordedValue]))</f>
        <v>639</v>
      </c>
      <c r="P100" s="5" cm="1">
        <f t="array" ref="P100">MAX(IF((OutputTable[GroupByKey]=OutputTable[[#This Row],[GroupByKey]]),(OutputTable[GroupByKey]=OutputTable[[#This Row],[GroupByKey]])*OutputTable[RecordedValue]))</f>
        <v>740</v>
      </c>
    </row>
    <row r="101" spans="1:16">
      <c r="A101" t="s">
        <v>67</v>
      </c>
      <c r="B101" t="s">
        <v>70</v>
      </c>
      <c r="C101">
        <v>15</v>
      </c>
      <c r="D101" t="s">
        <v>102</v>
      </c>
      <c r="E101" t="s">
        <v>103</v>
      </c>
      <c r="F101" t="s">
        <v>73</v>
      </c>
      <c r="G101">
        <v>699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ProjectEntity 1.NumberOutNumber OutEntity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s="5" cm="1">
        <f t="array" ref="K101">IFERROR(AVERAGE(IF((OutputTable[GroupByKey]=OutputTable[[#This Row],[GroupByKey]]),(OutputTable[GroupByKey]=OutputTable[[#This Row],[GroupByKey]])*OutputTable[RecordedValue])),0)</f>
        <v>679.23333333333335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24.567547045158822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01" s="5" cm="1">
        <f t="array" ref="O101">MIN(IF((OutputTable[GroupByKey]=OutputTable[[#This Row],[GroupByKey]]),(OutputTable[GroupByKey]=OutputTable[[#This Row],[GroupByKey]])*OutputTable[RecordedValue]))</f>
        <v>632</v>
      </c>
      <c r="P101" s="5" cm="1">
        <f t="array" ref="P101">MAX(IF((OutputTable[GroupByKey]=OutputTable[[#This Row],[GroupByKey]]),(OutputTable[GroupByKey]=OutputTable[[#This Row],[GroupByKey]])*OutputTable[RecordedValue]))</f>
        <v>729</v>
      </c>
    </row>
    <row r="102" spans="1:16">
      <c r="A102" t="s">
        <v>67</v>
      </c>
      <c r="B102" t="s">
        <v>70</v>
      </c>
      <c r="C102">
        <v>15</v>
      </c>
      <c r="D102" t="s">
        <v>104</v>
      </c>
      <c r="E102" t="s">
        <v>103</v>
      </c>
      <c r="F102" t="s">
        <v>105</v>
      </c>
      <c r="G102">
        <v>699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ProjectSystem.NumberOutNumber OutSystem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s="5" cm="1">
        <f t="array" ref="K102">IFERROR(AVERAGE(IF((OutputTable[GroupByKey]=OutputTable[[#This Row],[GroupByKey]]),(OutputTable[GroupByKey]=OutputTable[[#This Row],[GroupByKey]])*OutputTable[RecordedValue])),0)</f>
        <v>679.23333333333335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24.567547045158822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02" s="5" cm="1">
        <f t="array" ref="O102">MIN(IF((OutputTable[GroupByKey]=OutputTable[[#This Row],[GroupByKey]]),(OutputTable[GroupByKey]=OutputTable[[#This Row],[GroupByKey]])*OutputTable[RecordedValue]))</f>
        <v>632</v>
      </c>
      <c r="P102" s="5" cm="1">
        <f t="array" ref="P102">MAX(IF((OutputTable[GroupByKey]=OutputTable[[#This Row],[GroupByKey]]),(OutputTable[GroupByKey]=OutputTable[[#This Row],[GroupByKey]])*OutputTable[RecordedValue]))</f>
        <v>729</v>
      </c>
    </row>
    <row r="103" spans="1:16">
      <c r="A103" t="s">
        <v>67</v>
      </c>
      <c r="B103" t="s">
        <v>70</v>
      </c>
      <c r="C103">
        <v>15</v>
      </c>
      <c r="D103" t="s">
        <v>106</v>
      </c>
      <c r="E103" t="s">
        <v>107</v>
      </c>
      <c r="F103" t="s">
        <v>92</v>
      </c>
      <c r="G103">
        <v>700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s="5" cm="1">
        <f t="array" ref="K103">IFERROR(AVERAGE(IF((OutputTable[GroupByKey]=OutputTable[[#This Row],[GroupByKey]]),(OutputTable[GroupByKey]=OutputTable[[#This Row],[GroupByKey]])*OutputTable[RecordedValue])),0)</f>
        <v>682.33333333333337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24.270506201238735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03" s="5" cm="1">
        <f t="array" ref="O103">MIN(IF((OutputTable[GroupByKey]=OutputTable[[#This Row],[GroupByKey]]),(OutputTable[GroupByKey]=OutputTable[[#This Row],[GroupByKey]])*OutputTable[RecordedValue]))</f>
        <v>636</v>
      </c>
      <c r="P103" s="5" cm="1">
        <f t="array" ref="P103">MAX(IF((OutputTable[GroupByKey]=OutputTable[[#This Row],[GroupByKey]]),(OutputTable[GroupByKey]=OutputTable[[#This Row],[GroupByKey]])*OutputTable[RecordedValue]))</f>
        <v>733</v>
      </c>
    </row>
    <row r="104" spans="1:16">
      <c r="A104" t="s">
        <v>67</v>
      </c>
      <c r="B104" t="s">
        <v>70</v>
      </c>
      <c r="C104">
        <v>15</v>
      </c>
      <c r="D104" t="s">
        <v>108</v>
      </c>
      <c r="E104" t="s">
        <v>109</v>
      </c>
      <c r="F104" t="s">
        <v>92</v>
      </c>
      <c r="G104">
        <v>0.87224390502583504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s="5" cm="1">
        <f t="array" ref="K104">IFERROR(AVERAGE(IF((OutputTable[GroupByKey]=OutputTable[[#This Row],[GroupByKey]]),(OutputTable[GroupByKey]=OutputTable[[#This Row],[GroupByKey]])*OutputTable[RecordedValue])),0)</f>
        <v>0.85304256406630496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2.975273171257193E-2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04" s="5" cm="1">
        <f t="array" ref="O104">MIN(IF((OutputTable[GroupByKey]=OutputTable[[#This Row],[GroupByKey]]),(OutputTable[GroupByKey]=OutputTable[[#This Row],[GroupByKey]])*OutputTable[RecordedValue]))</f>
        <v>0.79563957753275305</v>
      </c>
      <c r="P104" s="5" cm="1">
        <f t="array" ref="P104">MAX(IF((OutputTable[GroupByKey]=OutputTable[[#This Row],[GroupByKey]]),(OutputTable[GroupByKey]=OutputTable[[#This Row],[GroupByKey]])*OutputTable[RecordedValue]))</f>
        <v>0.91388224334429202</v>
      </c>
    </row>
    <row r="105" spans="1:16">
      <c r="A105" t="s">
        <v>67</v>
      </c>
      <c r="B105" t="s">
        <v>70</v>
      </c>
      <c r="C105">
        <v>15</v>
      </c>
      <c r="D105" t="s">
        <v>110</v>
      </c>
      <c r="E105" t="s">
        <v>107</v>
      </c>
      <c r="F105" t="s">
        <v>92</v>
      </c>
      <c r="G105">
        <v>699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s="5" cm="1">
        <f t="array" ref="K105">IFERROR(AVERAGE(IF((OutputTable[GroupByKey]=OutputTable[[#This Row],[GroupByKey]]),(OutputTable[GroupByKey]=OutputTable[[#This Row],[GroupByKey]])*OutputTable[RecordedValue])),0)</f>
        <v>680.6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24.37296410595857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05" s="5" cm="1">
        <f t="array" ref="O105">MIN(IF((OutputTable[GroupByKey]=OutputTable[[#This Row],[GroupByKey]]),(OutputTable[GroupByKey]=OutputTable[[#This Row],[GroupByKey]])*OutputTable[RecordedValue]))</f>
        <v>634</v>
      </c>
      <c r="P105" s="5" cm="1">
        <f t="array" ref="P105">MAX(IF((OutputTable[GroupByKey]=OutputTable[[#This Row],[GroupByKey]]),(OutputTable[GroupByKey]=OutputTable[[#This Row],[GroupByKey]])*OutputTable[RecordedValue]))</f>
        <v>731</v>
      </c>
    </row>
    <row r="106" spans="1:16">
      <c r="A106" t="s">
        <v>67</v>
      </c>
      <c r="B106" t="s">
        <v>70</v>
      </c>
      <c r="C106">
        <v>15</v>
      </c>
      <c r="D106" t="s">
        <v>111</v>
      </c>
      <c r="E106" t="s">
        <v>109</v>
      </c>
      <c r="F106" t="s">
        <v>92</v>
      </c>
      <c r="G106">
        <v>0.70775121560393095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s="5" cm="1">
        <f t="array" ref="K106">IFERROR(AVERAGE(IF((OutputTable[GroupByKey]=OutputTable[[#This Row],[GroupByKey]]),(OutputTable[GroupByKey]=OutputTable[[#This Row],[GroupByKey]])*OutputTable[RecordedValue])),0)</f>
        <v>0.6819541161040038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2.5427627669908321E-2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06" s="5" cm="1">
        <f t="array" ref="O106">MIN(IF((OutputTable[GroupByKey]=OutputTable[[#This Row],[GroupByKey]]),(OutputTable[GroupByKey]=OutputTable[[#This Row],[GroupByKey]])*OutputTable[RecordedValue]))</f>
        <v>0.62568527922134098</v>
      </c>
      <c r="P106" s="5" cm="1">
        <f t="array" ref="P106">MAX(IF((OutputTable[GroupByKey]=OutputTable[[#This Row],[GroupByKey]]),(OutputTable[GroupByKey]=OutputTable[[#This Row],[GroupByKey]])*OutputTable[RecordedValue]))</f>
        <v>0.72090720879040104</v>
      </c>
    </row>
    <row r="107" spans="1:16">
      <c r="A107" t="s">
        <v>67</v>
      </c>
      <c r="B107" t="s">
        <v>70</v>
      </c>
      <c r="C107">
        <v>16</v>
      </c>
      <c r="D107" t="s">
        <v>100</v>
      </c>
      <c r="E107" t="s">
        <v>101</v>
      </c>
      <c r="F107" t="s">
        <v>73</v>
      </c>
      <c r="G107">
        <v>706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ProjectEntity 1.NumberInNumber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s="5" cm="1">
        <f t="array" ref="K107">IFERROR(AVERAGE(IF((OutputTable[GroupByKey]=OutputTable[[#This Row],[GroupByKey]]),(OutputTable[GroupByKey]=OutputTable[[#This Row],[GroupByKey]])*OutputTable[RecordedValue])),0)</f>
        <v>684.23333333333335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24.542269424520363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07" s="5" cm="1">
        <f t="array" ref="O107">MIN(IF((OutputTable[GroupByKey]=OutputTable[[#This Row],[GroupByKey]]),(OutputTable[GroupByKey]=OutputTable[[#This Row],[GroupByKey]])*OutputTable[RecordedValue]))</f>
        <v>639</v>
      </c>
      <c r="P107" s="5" cm="1">
        <f t="array" ref="P107">MAX(IF((OutputTable[GroupByKey]=OutputTable[[#This Row],[GroupByKey]]),(OutputTable[GroupByKey]=OutputTable[[#This Row],[GroupByKey]])*OutputTable[RecordedValue]))</f>
        <v>740</v>
      </c>
    </row>
    <row r="108" spans="1:16">
      <c r="A108" t="s">
        <v>67</v>
      </c>
      <c r="B108" t="s">
        <v>70</v>
      </c>
      <c r="C108">
        <v>16</v>
      </c>
      <c r="D108" t="s">
        <v>102</v>
      </c>
      <c r="E108" t="s">
        <v>103</v>
      </c>
      <c r="F108" t="s">
        <v>73</v>
      </c>
      <c r="G108">
        <v>705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ProjectEntity 1.NumberOutNumber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s="5" cm="1">
        <f t="array" ref="K108">IFERROR(AVERAGE(IF((OutputTable[GroupByKey]=OutputTable[[#This Row],[GroupByKey]]),(OutputTable[GroupByKey]=OutputTable[[#This Row],[GroupByKey]])*OutputTable[RecordedValue])),0)</f>
        <v>679.23333333333335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24.567547045158822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08" s="5" cm="1">
        <f t="array" ref="O108">MIN(IF((OutputTable[GroupByKey]=OutputTable[[#This Row],[GroupByKey]]),(OutputTable[GroupByKey]=OutputTable[[#This Row],[GroupByKey]])*OutputTable[RecordedValue]))</f>
        <v>632</v>
      </c>
      <c r="P108" s="5" cm="1">
        <f t="array" ref="P108">MAX(IF((OutputTable[GroupByKey]=OutputTable[[#This Row],[GroupByKey]]),(OutputTable[GroupByKey]=OutputTable[[#This Row],[GroupByKey]])*OutputTable[RecordedValue]))</f>
        <v>729</v>
      </c>
    </row>
    <row r="109" spans="1:16">
      <c r="A109" t="s">
        <v>67</v>
      </c>
      <c r="B109" t="s">
        <v>70</v>
      </c>
      <c r="C109">
        <v>16</v>
      </c>
      <c r="D109" t="s">
        <v>104</v>
      </c>
      <c r="E109" t="s">
        <v>103</v>
      </c>
      <c r="F109" t="s">
        <v>105</v>
      </c>
      <c r="G109">
        <v>705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ProjectSystem.NumberOutNumber OutSystem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s="5" cm="1">
        <f t="array" ref="K109">IFERROR(AVERAGE(IF((OutputTable[GroupByKey]=OutputTable[[#This Row],[GroupByKey]]),(OutputTable[GroupByKey]=OutputTable[[#This Row],[GroupByKey]])*OutputTable[RecordedValue])),0)</f>
        <v>679.23333333333335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24.567547045158822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09" s="5" cm="1">
        <f t="array" ref="O109">MIN(IF((OutputTable[GroupByKey]=OutputTable[[#This Row],[GroupByKey]]),(OutputTable[GroupByKey]=OutputTable[[#This Row],[GroupByKey]])*OutputTable[RecordedValue]))</f>
        <v>632</v>
      </c>
      <c r="P109" s="5" cm="1">
        <f t="array" ref="P109">MAX(IF((OutputTable[GroupByKey]=OutputTable[[#This Row],[GroupByKey]]),(OutputTable[GroupByKey]=OutputTable[[#This Row],[GroupByKey]])*OutputTable[RecordedValue]))</f>
        <v>729</v>
      </c>
    </row>
    <row r="110" spans="1:16">
      <c r="A110" t="s">
        <v>67</v>
      </c>
      <c r="B110" t="s">
        <v>70</v>
      </c>
      <c r="C110">
        <v>16</v>
      </c>
      <c r="D110" t="s">
        <v>106</v>
      </c>
      <c r="E110" t="s">
        <v>107</v>
      </c>
      <c r="F110" t="s">
        <v>92</v>
      </c>
      <c r="G110">
        <v>706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s="5" cm="1">
        <f t="array" ref="K110">IFERROR(AVERAGE(IF((OutputTable[GroupByKey]=OutputTable[[#This Row],[GroupByKey]]),(OutputTable[GroupByKey]=OutputTable[[#This Row],[GroupByKey]])*OutputTable[RecordedValue])),0)</f>
        <v>682.33333333333337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24.270506201238735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10" s="5" cm="1">
        <f t="array" ref="O110">MIN(IF((OutputTable[GroupByKey]=OutputTable[[#This Row],[GroupByKey]]),(OutputTable[GroupByKey]=OutputTable[[#This Row],[GroupByKey]])*OutputTable[RecordedValue]))</f>
        <v>636</v>
      </c>
      <c r="P110" s="5" cm="1">
        <f t="array" ref="P110">MAX(IF((OutputTable[GroupByKey]=OutputTable[[#This Row],[GroupByKey]]),(OutputTable[GroupByKey]=OutputTable[[#This Row],[GroupByKey]])*OutputTable[RecordedValue]))</f>
        <v>733</v>
      </c>
    </row>
    <row r="111" spans="1:16">
      <c r="A111" t="s">
        <v>67</v>
      </c>
      <c r="B111" t="s">
        <v>70</v>
      </c>
      <c r="C111">
        <v>16</v>
      </c>
      <c r="D111" t="s">
        <v>108</v>
      </c>
      <c r="E111" t="s">
        <v>109</v>
      </c>
      <c r="F111" t="s">
        <v>92</v>
      </c>
      <c r="G111">
        <v>0.88479302517467795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s="5" cm="1">
        <f t="array" ref="K111">IFERROR(AVERAGE(IF((OutputTable[GroupByKey]=OutputTable[[#This Row],[GroupByKey]]),(OutputTable[GroupByKey]=OutputTable[[#This Row],[GroupByKey]])*OutputTable[RecordedValue])),0)</f>
        <v>0.85304256406630496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2.975273171257193E-2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11" s="5" cm="1">
        <f t="array" ref="O111">MIN(IF((OutputTable[GroupByKey]=OutputTable[[#This Row],[GroupByKey]]),(OutputTable[GroupByKey]=OutputTable[[#This Row],[GroupByKey]])*OutputTable[RecordedValue]))</f>
        <v>0.79563957753275305</v>
      </c>
      <c r="P111" s="5" cm="1">
        <f t="array" ref="P111">MAX(IF((OutputTable[GroupByKey]=OutputTable[[#This Row],[GroupByKey]]),(OutputTable[GroupByKey]=OutputTable[[#This Row],[GroupByKey]])*OutputTable[RecordedValue]))</f>
        <v>0.91388224334429202</v>
      </c>
    </row>
    <row r="112" spans="1:16">
      <c r="A112" t="s">
        <v>67</v>
      </c>
      <c r="B112" t="s">
        <v>70</v>
      </c>
      <c r="C112">
        <v>16</v>
      </c>
      <c r="D112" t="s">
        <v>110</v>
      </c>
      <c r="E112" t="s">
        <v>107</v>
      </c>
      <c r="F112" t="s">
        <v>92</v>
      </c>
      <c r="G112">
        <v>706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680.6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24.37296410595857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12" s="5" cm="1">
        <f t="array" ref="O112">MIN(IF((OutputTable[GroupByKey]=OutputTable[[#This Row],[GroupByKey]]),(OutputTable[GroupByKey]=OutputTable[[#This Row],[GroupByKey]])*OutputTable[RecordedValue]))</f>
        <v>634</v>
      </c>
      <c r="P112" s="5" cm="1">
        <f t="array" ref="P112">MAX(IF((OutputTable[GroupByKey]=OutputTable[[#This Row],[GroupByKey]]),(OutputTable[GroupByKey]=OutputTable[[#This Row],[GroupByKey]])*OutputTable[RecordedValue]))</f>
        <v>731</v>
      </c>
    </row>
    <row r="113" spans="1:16">
      <c r="A113" t="s">
        <v>67</v>
      </c>
      <c r="B113" t="s">
        <v>70</v>
      </c>
      <c r="C113">
        <v>16</v>
      </c>
      <c r="D113" t="s">
        <v>111</v>
      </c>
      <c r="E113" t="s">
        <v>109</v>
      </c>
      <c r="F113" t="s">
        <v>92</v>
      </c>
      <c r="G113">
        <v>0.70355278047376502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0.6819541161040038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2.5427627669908321E-2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13" s="5" cm="1">
        <f t="array" ref="O113">MIN(IF((OutputTable[GroupByKey]=OutputTable[[#This Row],[GroupByKey]]),(OutputTable[GroupByKey]=OutputTable[[#This Row],[GroupByKey]])*OutputTable[RecordedValue]))</f>
        <v>0.62568527922134098</v>
      </c>
      <c r="P113" s="5" cm="1">
        <f t="array" ref="P113">MAX(IF((OutputTable[GroupByKey]=OutputTable[[#This Row],[GroupByKey]]),(OutputTable[GroupByKey]=OutputTable[[#This Row],[GroupByKey]])*OutputTable[RecordedValue]))</f>
        <v>0.72090720879040104</v>
      </c>
    </row>
    <row r="114" spans="1:16">
      <c r="A114" t="s">
        <v>67</v>
      </c>
      <c r="B114" t="s">
        <v>70</v>
      </c>
      <c r="C114">
        <v>17</v>
      </c>
      <c r="D114" t="s">
        <v>100</v>
      </c>
      <c r="E114" t="s">
        <v>101</v>
      </c>
      <c r="F114" t="s">
        <v>73</v>
      </c>
      <c r="G114">
        <v>679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ProjectEntity 1.NumberInNumber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684.23333333333335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24.542269424520363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14" s="5" cm="1">
        <f t="array" ref="O114">MIN(IF((OutputTable[GroupByKey]=OutputTable[[#This Row],[GroupByKey]]),(OutputTable[GroupByKey]=OutputTable[[#This Row],[GroupByKey]])*OutputTable[RecordedValue]))</f>
        <v>639</v>
      </c>
      <c r="P114" s="5" cm="1">
        <f t="array" ref="P114">MAX(IF((OutputTable[GroupByKey]=OutputTable[[#This Row],[GroupByKey]]),(OutputTable[GroupByKey]=OutputTable[[#This Row],[GroupByKey]])*OutputTable[RecordedValue]))</f>
        <v>740</v>
      </c>
    </row>
    <row r="115" spans="1:16">
      <c r="A115" t="s">
        <v>67</v>
      </c>
      <c r="B115" t="s">
        <v>70</v>
      </c>
      <c r="C115">
        <v>17</v>
      </c>
      <c r="D115" t="s">
        <v>102</v>
      </c>
      <c r="E115" t="s">
        <v>103</v>
      </c>
      <c r="F115" t="s">
        <v>73</v>
      </c>
      <c r="G115">
        <v>676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ProjectEntity 1.NumberOutNumber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679.23333333333335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24.567547045158822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15" s="5" cm="1">
        <f t="array" ref="O115">MIN(IF((OutputTable[GroupByKey]=OutputTable[[#This Row],[GroupByKey]]),(OutputTable[GroupByKey]=OutputTable[[#This Row],[GroupByKey]])*OutputTable[RecordedValue]))</f>
        <v>632</v>
      </c>
      <c r="P115" s="5" cm="1">
        <f t="array" ref="P115">MAX(IF((OutputTable[GroupByKey]=OutputTable[[#This Row],[GroupByKey]]),(OutputTable[GroupByKey]=OutputTable[[#This Row],[GroupByKey]])*OutputTable[RecordedValue]))</f>
        <v>729</v>
      </c>
    </row>
    <row r="116" spans="1:16">
      <c r="A116" t="s">
        <v>67</v>
      </c>
      <c r="B116" t="s">
        <v>70</v>
      </c>
      <c r="C116">
        <v>17</v>
      </c>
      <c r="D116" t="s">
        <v>104</v>
      </c>
      <c r="E116" t="s">
        <v>103</v>
      </c>
      <c r="F116" t="s">
        <v>105</v>
      </c>
      <c r="G116">
        <v>676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679.23333333333335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24.567547045158822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16" s="5" cm="1">
        <f t="array" ref="O116">MIN(IF((OutputTable[GroupByKey]=OutputTable[[#This Row],[GroupByKey]]),(OutputTable[GroupByKey]=OutputTable[[#This Row],[GroupByKey]])*OutputTable[RecordedValue]))</f>
        <v>632</v>
      </c>
      <c r="P116" s="5" cm="1">
        <f t="array" ref="P116">MAX(IF((OutputTable[GroupByKey]=OutputTable[[#This Row],[GroupByKey]]),(OutputTable[GroupByKey]=OutputTable[[#This Row],[GroupByKey]])*OutputTable[RecordedValue]))</f>
        <v>729</v>
      </c>
    </row>
    <row r="117" spans="1:16">
      <c r="A117" t="s">
        <v>67</v>
      </c>
      <c r="B117" t="s">
        <v>70</v>
      </c>
      <c r="C117">
        <v>17</v>
      </c>
      <c r="D117" t="s">
        <v>106</v>
      </c>
      <c r="E117" t="s">
        <v>107</v>
      </c>
      <c r="F117" t="s">
        <v>92</v>
      </c>
      <c r="G117">
        <v>679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682.33333333333337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24.270506201238735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17" s="5" cm="1">
        <f t="array" ref="O117">MIN(IF((OutputTable[GroupByKey]=OutputTable[[#This Row],[GroupByKey]]),(OutputTable[GroupByKey]=OutputTable[[#This Row],[GroupByKey]])*OutputTable[RecordedValue]))</f>
        <v>636</v>
      </c>
      <c r="P117" s="5" cm="1">
        <f t="array" ref="P117">MAX(IF((OutputTable[GroupByKey]=OutputTable[[#This Row],[GroupByKey]]),(OutputTable[GroupByKey]=OutputTable[[#This Row],[GroupByKey]])*OutputTable[RecordedValue]))</f>
        <v>733</v>
      </c>
    </row>
    <row r="118" spans="1:16">
      <c r="A118" t="s">
        <v>67</v>
      </c>
      <c r="B118" t="s">
        <v>70</v>
      </c>
      <c r="C118">
        <v>17</v>
      </c>
      <c r="D118" t="s">
        <v>108</v>
      </c>
      <c r="E118" t="s">
        <v>109</v>
      </c>
      <c r="F118" t="s">
        <v>92</v>
      </c>
      <c r="G118">
        <v>0.84482762161123504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0.85304256406630496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2.975273171257193E-2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18" s="5" cm="1">
        <f t="array" ref="O118">MIN(IF((OutputTable[GroupByKey]=OutputTable[[#This Row],[GroupByKey]]),(OutputTable[GroupByKey]=OutputTable[[#This Row],[GroupByKey]])*OutputTable[RecordedValue]))</f>
        <v>0.79563957753275305</v>
      </c>
      <c r="P118" s="5" cm="1">
        <f t="array" ref="P118">MAX(IF((OutputTable[GroupByKey]=OutputTable[[#This Row],[GroupByKey]]),(OutputTable[GroupByKey]=OutputTable[[#This Row],[GroupByKey]])*OutputTable[RecordedValue]))</f>
        <v>0.91388224334429202</v>
      </c>
    </row>
    <row r="119" spans="1:16">
      <c r="A119" t="s">
        <v>67</v>
      </c>
      <c r="B119" t="s">
        <v>70</v>
      </c>
      <c r="C119">
        <v>17</v>
      </c>
      <c r="D119" t="s">
        <v>110</v>
      </c>
      <c r="E119" t="s">
        <v>107</v>
      </c>
      <c r="F119" t="s">
        <v>92</v>
      </c>
      <c r="G119">
        <v>678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680.6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24.37296410595857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19" s="5" cm="1">
        <f t="array" ref="O119">MIN(IF((OutputTable[GroupByKey]=OutputTable[[#This Row],[GroupByKey]]),(OutputTable[GroupByKey]=OutputTable[[#This Row],[GroupByKey]])*OutputTable[RecordedValue]))</f>
        <v>634</v>
      </c>
      <c r="P119" s="5" cm="1">
        <f t="array" ref="P119">MAX(IF((OutputTable[GroupByKey]=OutputTable[[#This Row],[GroupByKey]]),(OutputTable[GroupByKey]=OutputTable[[#This Row],[GroupByKey]])*OutputTable[RecordedValue]))</f>
        <v>731</v>
      </c>
    </row>
    <row r="120" spans="1:16">
      <c r="A120" t="s">
        <v>67</v>
      </c>
      <c r="B120" t="s">
        <v>70</v>
      </c>
      <c r="C120">
        <v>17</v>
      </c>
      <c r="D120" t="s">
        <v>111</v>
      </c>
      <c r="E120" t="s">
        <v>109</v>
      </c>
      <c r="F120" t="s">
        <v>92</v>
      </c>
      <c r="G120">
        <v>0.68006043093939506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0.6819541161040038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2.5427627669908321E-2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20" s="5" cm="1">
        <f t="array" ref="O120">MIN(IF((OutputTable[GroupByKey]=OutputTable[[#This Row],[GroupByKey]]),(OutputTable[GroupByKey]=OutputTable[[#This Row],[GroupByKey]])*OutputTable[RecordedValue]))</f>
        <v>0.62568527922134098</v>
      </c>
      <c r="P120" s="5" cm="1">
        <f t="array" ref="P120">MAX(IF((OutputTable[GroupByKey]=OutputTable[[#This Row],[GroupByKey]]),(OutputTable[GroupByKey]=OutputTable[[#This Row],[GroupByKey]])*OutputTable[RecordedValue]))</f>
        <v>0.72090720879040104</v>
      </c>
    </row>
    <row r="121" spans="1:16">
      <c r="A121" t="s">
        <v>67</v>
      </c>
      <c r="B121" t="s">
        <v>70</v>
      </c>
      <c r="C121">
        <v>18</v>
      </c>
      <c r="D121" t="s">
        <v>100</v>
      </c>
      <c r="E121" t="s">
        <v>101</v>
      </c>
      <c r="F121" t="s">
        <v>73</v>
      </c>
      <c r="G121">
        <v>652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ProjectEntity 1.NumberInNumber InEntity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684.23333333333335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24.542269424520363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21" s="5" cm="1">
        <f t="array" ref="O121">MIN(IF((OutputTable[GroupByKey]=OutputTable[[#This Row],[GroupByKey]]),(OutputTable[GroupByKey]=OutputTable[[#This Row],[GroupByKey]])*OutputTable[RecordedValue]))</f>
        <v>639</v>
      </c>
      <c r="P121" s="5" cm="1">
        <f t="array" ref="P121">MAX(IF((OutputTable[GroupByKey]=OutputTable[[#This Row],[GroupByKey]]),(OutputTable[GroupByKey]=OutputTable[[#This Row],[GroupByKey]])*OutputTable[RecordedValue]))</f>
        <v>740</v>
      </c>
    </row>
    <row r="122" spans="1:16">
      <c r="A122" t="s">
        <v>67</v>
      </c>
      <c r="B122" t="s">
        <v>70</v>
      </c>
      <c r="C122">
        <v>18</v>
      </c>
      <c r="D122" t="s">
        <v>102</v>
      </c>
      <c r="E122" t="s">
        <v>103</v>
      </c>
      <c r="F122" t="s">
        <v>73</v>
      </c>
      <c r="G122">
        <v>646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ProjectEntity 1.NumberOutNumber OutEntity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679.23333333333335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24.567547045158822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22" s="5" cm="1">
        <f t="array" ref="O122">MIN(IF((OutputTable[GroupByKey]=OutputTable[[#This Row],[GroupByKey]]),(OutputTable[GroupByKey]=OutputTable[[#This Row],[GroupByKey]])*OutputTable[RecordedValue]))</f>
        <v>632</v>
      </c>
      <c r="P122" s="5" cm="1">
        <f t="array" ref="P122">MAX(IF((OutputTable[GroupByKey]=OutputTable[[#This Row],[GroupByKey]]),(OutputTable[GroupByKey]=OutputTable[[#This Row],[GroupByKey]])*OutputTable[RecordedValue]))</f>
        <v>729</v>
      </c>
    </row>
    <row r="123" spans="1:16">
      <c r="A123" t="s">
        <v>67</v>
      </c>
      <c r="B123" t="s">
        <v>70</v>
      </c>
      <c r="C123">
        <v>18</v>
      </c>
      <c r="D123" t="s">
        <v>104</v>
      </c>
      <c r="E123" t="s">
        <v>103</v>
      </c>
      <c r="F123" t="s">
        <v>105</v>
      </c>
      <c r="G123">
        <v>646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ProjectSystem.NumberOutNumber OutSystem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679.23333333333335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24.567547045158822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23" s="5" cm="1">
        <f t="array" ref="O123">MIN(IF((OutputTable[GroupByKey]=OutputTable[[#This Row],[GroupByKey]]),(OutputTable[GroupByKey]=OutputTable[[#This Row],[GroupByKey]])*OutputTable[RecordedValue]))</f>
        <v>632</v>
      </c>
      <c r="P123" s="5" cm="1">
        <f t="array" ref="P123">MAX(IF((OutputTable[GroupByKey]=OutputTable[[#This Row],[GroupByKey]]),(OutputTable[GroupByKey]=OutputTable[[#This Row],[GroupByKey]])*OutputTable[RecordedValue]))</f>
        <v>729</v>
      </c>
    </row>
    <row r="124" spans="1:16">
      <c r="A124" t="s">
        <v>67</v>
      </c>
      <c r="B124" t="s">
        <v>70</v>
      </c>
      <c r="C124">
        <v>18</v>
      </c>
      <c r="D124" t="s">
        <v>106</v>
      </c>
      <c r="E124" t="s">
        <v>107</v>
      </c>
      <c r="F124" t="s">
        <v>92</v>
      </c>
      <c r="G124">
        <v>650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682.33333333333337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24.270506201238735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24" s="5" cm="1">
        <f t="array" ref="O124">MIN(IF((OutputTable[GroupByKey]=OutputTable[[#This Row],[GroupByKey]]),(OutputTable[GroupByKey]=OutputTable[[#This Row],[GroupByKey]])*OutputTable[RecordedValue]))</f>
        <v>636</v>
      </c>
      <c r="P124" s="5" cm="1">
        <f t="array" ref="P124">MAX(IF((OutputTable[GroupByKey]=OutputTable[[#This Row],[GroupByKey]]),(OutputTable[GroupByKey]=OutputTable[[#This Row],[GroupByKey]])*OutputTable[RecordedValue]))</f>
        <v>733</v>
      </c>
    </row>
    <row r="125" spans="1:16">
      <c r="A125" t="s">
        <v>67</v>
      </c>
      <c r="B125" t="s">
        <v>70</v>
      </c>
      <c r="C125">
        <v>18</v>
      </c>
      <c r="D125" t="s">
        <v>108</v>
      </c>
      <c r="E125" t="s">
        <v>109</v>
      </c>
      <c r="F125" t="s">
        <v>92</v>
      </c>
      <c r="G125">
        <v>0.81030863554368704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0.85304256406630496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2.975273171257193E-2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25" s="5" cm="1">
        <f t="array" ref="O125">MIN(IF((OutputTable[GroupByKey]=OutputTable[[#This Row],[GroupByKey]]),(OutputTable[GroupByKey]=OutputTable[[#This Row],[GroupByKey]])*OutputTable[RecordedValue]))</f>
        <v>0.79563957753275305</v>
      </c>
      <c r="P125" s="5" cm="1">
        <f t="array" ref="P125">MAX(IF((OutputTable[GroupByKey]=OutputTable[[#This Row],[GroupByKey]]),(OutputTable[GroupByKey]=OutputTable[[#This Row],[GroupByKey]])*OutputTable[RecordedValue]))</f>
        <v>0.91388224334429202</v>
      </c>
    </row>
    <row r="126" spans="1:16">
      <c r="A126" t="s">
        <v>67</v>
      </c>
      <c r="B126" t="s">
        <v>70</v>
      </c>
      <c r="C126">
        <v>18</v>
      </c>
      <c r="D126" t="s">
        <v>110</v>
      </c>
      <c r="E126" t="s">
        <v>107</v>
      </c>
      <c r="F126" t="s">
        <v>92</v>
      </c>
      <c r="G126">
        <v>648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680.6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24.37296410595857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26" s="5" cm="1">
        <f t="array" ref="O126">MIN(IF((OutputTable[GroupByKey]=OutputTable[[#This Row],[GroupByKey]]),(OutputTable[GroupByKey]=OutputTable[[#This Row],[GroupByKey]])*OutputTable[RecordedValue]))</f>
        <v>634</v>
      </c>
      <c r="P126" s="5" cm="1">
        <f t="array" ref="P126">MAX(IF((OutputTable[GroupByKey]=OutputTable[[#This Row],[GroupByKey]]),(OutputTable[GroupByKey]=OutputTable[[#This Row],[GroupByKey]])*OutputTable[RecordedValue]))</f>
        <v>731</v>
      </c>
    </row>
    <row r="127" spans="1:16">
      <c r="A127" t="s">
        <v>67</v>
      </c>
      <c r="B127" t="s">
        <v>70</v>
      </c>
      <c r="C127">
        <v>18</v>
      </c>
      <c r="D127" t="s">
        <v>111</v>
      </c>
      <c r="E127" t="s">
        <v>109</v>
      </c>
      <c r="F127" t="s">
        <v>92</v>
      </c>
      <c r="G127">
        <v>0.65840518524309799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0.6819541161040038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2.5427627669908321E-2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27" s="5" cm="1">
        <f t="array" ref="O127">MIN(IF((OutputTable[GroupByKey]=OutputTable[[#This Row],[GroupByKey]]),(OutputTable[GroupByKey]=OutputTable[[#This Row],[GroupByKey]])*OutputTable[RecordedValue]))</f>
        <v>0.62568527922134098</v>
      </c>
      <c r="P127" s="5" cm="1">
        <f t="array" ref="P127">MAX(IF((OutputTable[GroupByKey]=OutputTable[[#This Row],[GroupByKey]]),(OutputTable[GroupByKey]=OutputTable[[#This Row],[GroupByKey]])*OutputTable[RecordedValue]))</f>
        <v>0.72090720879040104</v>
      </c>
    </row>
    <row r="128" spans="1:16">
      <c r="A128" t="s">
        <v>67</v>
      </c>
      <c r="B128" t="s">
        <v>70</v>
      </c>
      <c r="C128">
        <v>19</v>
      </c>
      <c r="D128" t="s">
        <v>100</v>
      </c>
      <c r="E128" t="s">
        <v>101</v>
      </c>
      <c r="F128" t="s">
        <v>73</v>
      </c>
      <c r="G128">
        <v>692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ProjectEntity 1.NumberInNumber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684.23333333333335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24.542269424520363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28" s="5" cm="1">
        <f t="array" ref="O128">MIN(IF((OutputTable[GroupByKey]=OutputTable[[#This Row],[GroupByKey]]),(OutputTable[GroupByKey]=OutputTable[[#This Row],[GroupByKey]])*OutputTable[RecordedValue]))</f>
        <v>639</v>
      </c>
      <c r="P128" s="5" cm="1">
        <f t="array" ref="P128">MAX(IF((OutputTable[GroupByKey]=OutputTable[[#This Row],[GroupByKey]]),(OutputTable[GroupByKey]=OutputTable[[#This Row],[GroupByKey]])*OutputTable[RecordedValue]))</f>
        <v>740</v>
      </c>
    </row>
    <row r="129" spans="1:16">
      <c r="A129" t="s">
        <v>67</v>
      </c>
      <c r="B129" t="s">
        <v>70</v>
      </c>
      <c r="C129">
        <v>19</v>
      </c>
      <c r="D129" t="s">
        <v>102</v>
      </c>
      <c r="E129" t="s">
        <v>103</v>
      </c>
      <c r="F129" t="s">
        <v>73</v>
      </c>
      <c r="G129">
        <v>690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ProjectEntity 1.NumberOutNumber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679.23333333333335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24.567547045158822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29" s="5" cm="1">
        <f t="array" ref="O129">MIN(IF((OutputTable[GroupByKey]=OutputTable[[#This Row],[GroupByKey]]),(OutputTable[GroupByKey]=OutputTable[[#This Row],[GroupByKey]])*OutputTable[RecordedValue]))</f>
        <v>632</v>
      </c>
      <c r="P129" s="5" cm="1">
        <f t="array" ref="P129">MAX(IF((OutputTable[GroupByKey]=OutputTable[[#This Row],[GroupByKey]]),(OutputTable[GroupByKey]=OutputTable[[#This Row],[GroupByKey]])*OutputTable[RecordedValue]))</f>
        <v>729</v>
      </c>
    </row>
    <row r="130" spans="1:16">
      <c r="A130" t="s">
        <v>67</v>
      </c>
      <c r="B130" t="s">
        <v>70</v>
      </c>
      <c r="C130">
        <v>19</v>
      </c>
      <c r="D130" t="s">
        <v>104</v>
      </c>
      <c r="E130" t="s">
        <v>103</v>
      </c>
      <c r="F130" t="s">
        <v>105</v>
      </c>
      <c r="G130">
        <v>690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ProjectSystem.NumberOutNumber OutSystem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679.23333333333335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24.567547045158822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30" s="5" cm="1">
        <f t="array" ref="O130">MIN(IF((OutputTable[GroupByKey]=OutputTable[[#This Row],[GroupByKey]]),(OutputTable[GroupByKey]=OutputTable[[#This Row],[GroupByKey]])*OutputTable[RecordedValue]))</f>
        <v>632</v>
      </c>
      <c r="P130" s="5" cm="1">
        <f t="array" ref="P130">MAX(IF((OutputTable[GroupByKey]=OutputTable[[#This Row],[GroupByKey]]),(OutputTable[GroupByKey]=OutputTable[[#This Row],[GroupByKey]])*OutputTable[RecordedValue]))</f>
        <v>729</v>
      </c>
    </row>
    <row r="131" spans="1:16">
      <c r="A131" t="s">
        <v>67</v>
      </c>
      <c r="B131" t="s">
        <v>70</v>
      </c>
      <c r="C131">
        <v>19</v>
      </c>
      <c r="D131" t="s">
        <v>106</v>
      </c>
      <c r="E131" t="s">
        <v>107</v>
      </c>
      <c r="F131" t="s">
        <v>92</v>
      </c>
      <c r="G131">
        <v>692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682.33333333333337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24.270506201238735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31" s="5" cm="1">
        <f t="array" ref="O131">MIN(IF((OutputTable[GroupByKey]=OutputTable[[#This Row],[GroupByKey]]),(OutputTable[GroupByKey]=OutputTable[[#This Row],[GroupByKey]])*OutputTable[RecordedValue]))</f>
        <v>636</v>
      </c>
      <c r="P131" s="5" cm="1">
        <f t="array" ref="P131">MAX(IF((OutputTable[GroupByKey]=OutputTable[[#This Row],[GroupByKey]]),(OutputTable[GroupByKey]=OutputTable[[#This Row],[GroupByKey]])*OutputTable[RecordedValue]))</f>
        <v>733</v>
      </c>
    </row>
    <row r="132" spans="1:16">
      <c r="A132" t="s">
        <v>67</v>
      </c>
      <c r="B132" t="s">
        <v>70</v>
      </c>
      <c r="C132">
        <v>19</v>
      </c>
      <c r="D132" t="s">
        <v>108</v>
      </c>
      <c r="E132" t="s">
        <v>109</v>
      </c>
      <c r="F132" t="s">
        <v>92</v>
      </c>
      <c r="G132">
        <v>0.87232463798078397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0.85304256406630496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2.975273171257193E-2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32" s="5" cm="1">
        <f t="array" ref="O132">MIN(IF((OutputTable[GroupByKey]=OutputTable[[#This Row],[GroupByKey]]),(OutputTable[GroupByKey]=OutputTable[[#This Row],[GroupByKey]])*OutputTable[RecordedValue]))</f>
        <v>0.79563957753275305</v>
      </c>
      <c r="P132" s="5" cm="1">
        <f t="array" ref="P132">MAX(IF((OutputTable[GroupByKey]=OutputTable[[#This Row],[GroupByKey]]),(OutputTable[GroupByKey]=OutputTable[[#This Row],[GroupByKey]])*OutputTable[RecordedValue]))</f>
        <v>0.91388224334429202</v>
      </c>
    </row>
    <row r="133" spans="1:16">
      <c r="A133" t="s">
        <v>67</v>
      </c>
      <c r="B133" t="s">
        <v>70</v>
      </c>
      <c r="C133">
        <v>19</v>
      </c>
      <c r="D133" t="s">
        <v>110</v>
      </c>
      <c r="E133" t="s">
        <v>107</v>
      </c>
      <c r="F133" t="s">
        <v>92</v>
      </c>
      <c r="G133">
        <v>691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680.6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24.37296410595857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33" s="5" cm="1">
        <f t="array" ref="O133">MIN(IF((OutputTable[GroupByKey]=OutputTable[[#This Row],[GroupByKey]]),(OutputTable[GroupByKey]=OutputTable[[#This Row],[GroupByKey]])*OutputTable[RecordedValue]))</f>
        <v>634</v>
      </c>
      <c r="P133" s="5" cm="1">
        <f t="array" ref="P133">MAX(IF((OutputTable[GroupByKey]=OutputTable[[#This Row],[GroupByKey]]),(OutputTable[GroupByKey]=OutputTable[[#This Row],[GroupByKey]])*OutputTable[RecordedValue]))</f>
        <v>731</v>
      </c>
    </row>
    <row r="134" spans="1:16">
      <c r="A134" t="s">
        <v>67</v>
      </c>
      <c r="B134" t="s">
        <v>70</v>
      </c>
      <c r="C134">
        <v>19</v>
      </c>
      <c r="D134" t="s">
        <v>111</v>
      </c>
      <c r="E134" t="s">
        <v>109</v>
      </c>
      <c r="F134" t="s">
        <v>92</v>
      </c>
      <c r="G134">
        <v>0.66938966764532803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0.6819541161040038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2.5427627669908321E-2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34" s="5" cm="1">
        <f t="array" ref="O134">MIN(IF((OutputTable[GroupByKey]=OutputTable[[#This Row],[GroupByKey]]),(OutputTable[GroupByKey]=OutputTable[[#This Row],[GroupByKey]])*OutputTable[RecordedValue]))</f>
        <v>0.62568527922134098</v>
      </c>
      <c r="P134" s="5" cm="1">
        <f t="array" ref="P134">MAX(IF((OutputTable[GroupByKey]=OutputTable[[#This Row],[GroupByKey]]),(OutputTable[GroupByKey]=OutputTable[[#This Row],[GroupByKey]])*OutputTable[RecordedValue]))</f>
        <v>0.72090720879040104</v>
      </c>
    </row>
    <row r="135" spans="1:16">
      <c r="A135" t="s">
        <v>67</v>
      </c>
      <c r="B135" t="s">
        <v>70</v>
      </c>
      <c r="C135">
        <v>20</v>
      </c>
      <c r="D135" t="s">
        <v>100</v>
      </c>
      <c r="E135" t="s">
        <v>101</v>
      </c>
      <c r="F135" t="s">
        <v>73</v>
      </c>
      <c r="G135">
        <v>645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ProjectEntity 1.NumberInNumber InEntity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684.23333333333335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24.542269424520363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35" s="5" cm="1">
        <f t="array" ref="O135">MIN(IF((OutputTable[GroupByKey]=OutputTable[[#This Row],[GroupByKey]]),(OutputTable[GroupByKey]=OutputTable[[#This Row],[GroupByKey]])*OutputTable[RecordedValue]))</f>
        <v>639</v>
      </c>
      <c r="P135" s="5" cm="1">
        <f t="array" ref="P135">MAX(IF((OutputTable[GroupByKey]=OutputTable[[#This Row],[GroupByKey]]),(OutputTable[GroupByKey]=OutputTable[[#This Row],[GroupByKey]])*OutputTable[RecordedValue]))</f>
        <v>740</v>
      </c>
    </row>
    <row r="136" spans="1:16">
      <c r="A136" t="s">
        <v>67</v>
      </c>
      <c r="B136" t="s">
        <v>70</v>
      </c>
      <c r="C136">
        <v>20</v>
      </c>
      <c r="D136" t="s">
        <v>102</v>
      </c>
      <c r="E136" t="s">
        <v>103</v>
      </c>
      <c r="F136" t="s">
        <v>73</v>
      </c>
      <c r="G136">
        <v>639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ProjectEntity 1.NumberOutNumber OutEntity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679.23333333333335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24.567547045158822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36" s="5" cm="1">
        <f t="array" ref="O136">MIN(IF((OutputTable[GroupByKey]=OutputTable[[#This Row],[GroupByKey]]),(OutputTable[GroupByKey]=OutputTable[[#This Row],[GroupByKey]])*OutputTable[RecordedValue]))</f>
        <v>632</v>
      </c>
      <c r="P136" s="5" cm="1">
        <f t="array" ref="P136">MAX(IF((OutputTable[GroupByKey]=OutputTable[[#This Row],[GroupByKey]]),(OutputTable[GroupByKey]=OutputTable[[#This Row],[GroupByKey]])*OutputTable[RecordedValue]))</f>
        <v>729</v>
      </c>
    </row>
    <row r="137" spans="1:16">
      <c r="A137" t="s">
        <v>67</v>
      </c>
      <c r="B137" t="s">
        <v>70</v>
      </c>
      <c r="C137">
        <v>20</v>
      </c>
      <c r="D137" t="s">
        <v>104</v>
      </c>
      <c r="E137" t="s">
        <v>103</v>
      </c>
      <c r="F137" t="s">
        <v>105</v>
      </c>
      <c r="G137">
        <v>639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ProjectSystem.NumberOutNumber OutSystem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679.23333333333335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24.567547045158822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37" s="5" cm="1">
        <f t="array" ref="O137">MIN(IF((OutputTable[GroupByKey]=OutputTable[[#This Row],[GroupByKey]]),(OutputTable[GroupByKey]=OutputTable[[#This Row],[GroupByKey]])*OutputTable[RecordedValue]))</f>
        <v>632</v>
      </c>
      <c r="P137" s="5" cm="1">
        <f t="array" ref="P137">MAX(IF((OutputTable[GroupByKey]=OutputTable[[#This Row],[GroupByKey]]),(OutputTable[GroupByKey]=OutputTable[[#This Row],[GroupByKey]])*OutputTable[RecordedValue]))</f>
        <v>729</v>
      </c>
    </row>
    <row r="138" spans="1:16">
      <c r="A138" t="s">
        <v>67</v>
      </c>
      <c r="B138" t="s">
        <v>70</v>
      </c>
      <c r="C138">
        <v>20</v>
      </c>
      <c r="D138" t="s">
        <v>106</v>
      </c>
      <c r="E138" t="s">
        <v>107</v>
      </c>
      <c r="F138" t="s">
        <v>92</v>
      </c>
      <c r="G138">
        <v>643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682.33333333333337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24.270506201238735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38" s="5" cm="1">
        <f t="array" ref="O138">MIN(IF((OutputTable[GroupByKey]=OutputTable[[#This Row],[GroupByKey]]),(OutputTable[GroupByKey]=OutputTable[[#This Row],[GroupByKey]])*OutputTable[RecordedValue]))</f>
        <v>636</v>
      </c>
      <c r="P138" s="5" cm="1">
        <f t="array" ref="P138">MAX(IF((OutputTable[GroupByKey]=OutputTable[[#This Row],[GroupByKey]]),(OutputTable[GroupByKey]=OutputTable[[#This Row],[GroupByKey]])*OutputTable[RecordedValue]))</f>
        <v>733</v>
      </c>
    </row>
    <row r="139" spans="1:16">
      <c r="A139" t="s">
        <v>67</v>
      </c>
      <c r="B139" t="s">
        <v>70</v>
      </c>
      <c r="C139">
        <v>20</v>
      </c>
      <c r="D139" t="s">
        <v>108</v>
      </c>
      <c r="E139" t="s">
        <v>109</v>
      </c>
      <c r="F139" t="s">
        <v>92</v>
      </c>
      <c r="G139">
        <v>0.80260861505151904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0.85304256406630496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2.975273171257193E-2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39" s="5" cm="1">
        <f t="array" ref="O139">MIN(IF((OutputTable[GroupByKey]=OutputTable[[#This Row],[GroupByKey]]),(OutputTable[GroupByKey]=OutputTable[[#This Row],[GroupByKey]])*OutputTable[RecordedValue]))</f>
        <v>0.79563957753275305</v>
      </c>
      <c r="P139" s="5" cm="1">
        <f t="array" ref="P139">MAX(IF((OutputTable[GroupByKey]=OutputTable[[#This Row],[GroupByKey]]),(OutputTable[GroupByKey]=OutputTable[[#This Row],[GroupByKey]])*OutputTable[RecordedValue]))</f>
        <v>0.91388224334429202</v>
      </c>
    </row>
    <row r="140" spans="1:16">
      <c r="A140" t="s">
        <v>67</v>
      </c>
      <c r="B140" t="s">
        <v>70</v>
      </c>
      <c r="C140">
        <v>20</v>
      </c>
      <c r="D140" t="s">
        <v>110</v>
      </c>
      <c r="E140" t="s">
        <v>107</v>
      </c>
      <c r="F140" t="s">
        <v>92</v>
      </c>
      <c r="G140">
        <v>641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680.6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24.37296410595857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40" s="5" cm="1">
        <f t="array" ref="O140">MIN(IF((OutputTable[GroupByKey]=OutputTable[[#This Row],[GroupByKey]]),(OutputTable[GroupByKey]=OutputTable[[#This Row],[GroupByKey]])*OutputTable[RecordedValue]))</f>
        <v>634</v>
      </c>
      <c r="P140" s="5" cm="1">
        <f t="array" ref="P140">MAX(IF((OutputTable[GroupByKey]=OutputTable[[#This Row],[GroupByKey]]),(OutputTable[GroupByKey]=OutputTable[[#This Row],[GroupByKey]])*OutputTable[RecordedValue]))</f>
        <v>731</v>
      </c>
    </row>
    <row r="141" spans="1:16">
      <c r="A141" t="s">
        <v>67</v>
      </c>
      <c r="B141" t="s">
        <v>70</v>
      </c>
      <c r="C141">
        <v>20</v>
      </c>
      <c r="D141" t="s">
        <v>111</v>
      </c>
      <c r="E141" t="s">
        <v>109</v>
      </c>
      <c r="F141" t="s">
        <v>92</v>
      </c>
      <c r="G141">
        <v>0.641007886630513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0.6819541161040038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2.5427627669908321E-2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41" s="5" cm="1">
        <f t="array" ref="O141">MIN(IF((OutputTable[GroupByKey]=OutputTable[[#This Row],[GroupByKey]]),(OutputTable[GroupByKey]=OutputTable[[#This Row],[GroupByKey]])*OutputTable[RecordedValue]))</f>
        <v>0.62568527922134098</v>
      </c>
      <c r="P141" s="5" cm="1">
        <f t="array" ref="P141">MAX(IF((OutputTable[GroupByKey]=OutputTable[[#This Row],[GroupByKey]]),(OutputTable[GroupByKey]=OutputTable[[#This Row],[GroupByKey]])*OutputTable[RecordedValue]))</f>
        <v>0.72090720879040104</v>
      </c>
    </row>
    <row r="142" spans="1:16">
      <c r="A142" t="s">
        <v>67</v>
      </c>
      <c r="B142" t="s">
        <v>70</v>
      </c>
      <c r="C142">
        <v>21</v>
      </c>
      <c r="D142" t="s">
        <v>100</v>
      </c>
      <c r="E142" t="s">
        <v>101</v>
      </c>
      <c r="F142" t="s">
        <v>73</v>
      </c>
      <c r="G142">
        <v>680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ProjectEntity 1.NumberInNumber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684.23333333333335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24.542269424520363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42" s="5" cm="1">
        <f t="array" ref="O142">MIN(IF((OutputTable[GroupByKey]=OutputTable[[#This Row],[GroupByKey]]),(OutputTable[GroupByKey]=OutputTable[[#This Row],[GroupByKey]])*OutputTable[RecordedValue]))</f>
        <v>639</v>
      </c>
      <c r="P142" s="5" cm="1">
        <f t="array" ref="P142">MAX(IF((OutputTable[GroupByKey]=OutputTable[[#This Row],[GroupByKey]]),(OutputTable[GroupByKey]=OutputTable[[#This Row],[GroupByKey]])*OutputTable[RecordedValue]))</f>
        <v>740</v>
      </c>
    </row>
    <row r="143" spans="1:16">
      <c r="A143" t="s">
        <v>67</v>
      </c>
      <c r="B143" t="s">
        <v>70</v>
      </c>
      <c r="C143">
        <v>21</v>
      </c>
      <c r="D143" t="s">
        <v>102</v>
      </c>
      <c r="E143" t="s">
        <v>103</v>
      </c>
      <c r="F143" t="s">
        <v>73</v>
      </c>
      <c r="G143">
        <v>678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ProjectEntity 1.NumberOutNumber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679.23333333333335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24.567547045158822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43" s="5" cm="1">
        <f t="array" ref="O143">MIN(IF((OutputTable[GroupByKey]=OutputTable[[#This Row],[GroupByKey]]),(OutputTable[GroupByKey]=OutputTable[[#This Row],[GroupByKey]])*OutputTable[RecordedValue]))</f>
        <v>632</v>
      </c>
      <c r="P143" s="5" cm="1">
        <f t="array" ref="P143">MAX(IF((OutputTable[GroupByKey]=OutputTable[[#This Row],[GroupByKey]]),(OutputTable[GroupByKey]=OutputTable[[#This Row],[GroupByKey]])*OutputTable[RecordedValue]))</f>
        <v>729</v>
      </c>
    </row>
    <row r="144" spans="1:16">
      <c r="A144" t="s">
        <v>67</v>
      </c>
      <c r="B144" t="s">
        <v>70</v>
      </c>
      <c r="C144">
        <v>21</v>
      </c>
      <c r="D144" t="s">
        <v>104</v>
      </c>
      <c r="E144" t="s">
        <v>103</v>
      </c>
      <c r="F144" t="s">
        <v>105</v>
      </c>
      <c r="G144">
        <v>678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ProjectSystem.NumberOutNumber OutSystem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679.23333333333335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24.567547045158822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44" s="5" cm="1">
        <f t="array" ref="O144">MIN(IF((OutputTable[GroupByKey]=OutputTable[[#This Row],[GroupByKey]]),(OutputTable[GroupByKey]=OutputTable[[#This Row],[GroupByKey]])*OutputTable[RecordedValue]))</f>
        <v>632</v>
      </c>
      <c r="P144" s="5" cm="1">
        <f t="array" ref="P144">MAX(IF((OutputTable[GroupByKey]=OutputTable[[#This Row],[GroupByKey]]),(OutputTable[GroupByKey]=OutputTable[[#This Row],[GroupByKey]])*OutputTable[RecordedValue]))</f>
        <v>729</v>
      </c>
    </row>
    <row r="145" spans="1:16">
      <c r="A145" t="s">
        <v>67</v>
      </c>
      <c r="B145" t="s">
        <v>70</v>
      </c>
      <c r="C145">
        <v>21</v>
      </c>
      <c r="D145" t="s">
        <v>106</v>
      </c>
      <c r="E145" t="s">
        <v>107</v>
      </c>
      <c r="F145" t="s">
        <v>92</v>
      </c>
      <c r="G145">
        <v>680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682.33333333333337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24.270506201238735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45" s="5" cm="1">
        <f t="array" ref="O145">MIN(IF((OutputTable[GroupByKey]=OutputTable[[#This Row],[GroupByKey]]),(OutputTable[GroupByKey]=OutputTable[[#This Row],[GroupByKey]])*OutputTable[RecordedValue]))</f>
        <v>636</v>
      </c>
      <c r="P145" s="5" cm="1">
        <f t="array" ref="P145">MAX(IF((OutputTable[GroupByKey]=OutputTable[[#This Row],[GroupByKey]]),(OutputTable[GroupByKey]=OutputTable[[#This Row],[GroupByKey]])*OutputTable[RecordedValue]))</f>
        <v>733</v>
      </c>
    </row>
    <row r="146" spans="1:16">
      <c r="A146" t="s">
        <v>67</v>
      </c>
      <c r="B146" t="s">
        <v>70</v>
      </c>
      <c r="C146">
        <v>21</v>
      </c>
      <c r="D146" t="s">
        <v>108</v>
      </c>
      <c r="E146" t="s">
        <v>109</v>
      </c>
      <c r="F146" t="s">
        <v>92</v>
      </c>
      <c r="G146">
        <v>0.851975189665935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0.85304256406630496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2.975273171257193E-2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46" s="5" cm="1">
        <f t="array" ref="O146">MIN(IF((OutputTable[GroupByKey]=OutputTable[[#This Row],[GroupByKey]]),(OutputTable[GroupByKey]=OutputTable[[#This Row],[GroupByKey]])*OutputTable[RecordedValue]))</f>
        <v>0.79563957753275305</v>
      </c>
      <c r="P146" s="5" cm="1">
        <f t="array" ref="P146">MAX(IF((OutputTable[GroupByKey]=OutputTable[[#This Row],[GroupByKey]]),(OutputTable[GroupByKey]=OutputTable[[#This Row],[GroupByKey]])*OutputTable[RecordedValue]))</f>
        <v>0.91388224334429202</v>
      </c>
    </row>
    <row r="147" spans="1:16">
      <c r="A147" t="s">
        <v>67</v>
      </c>
      <c r="B147" t="s">
        <v>70</v>
      </c>
      <c r="C147">
        <v>21</v>
      </c>
      <c r="D147" t="s">
        <v>110</v>
      </c>
      <c r="E147" t="s">
        <v>107</v>
      </c>
      <c r="F147" t="s">
        <v>92</v>
      </c>
      <c r="G147">
        <v>678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680.6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24.37296410595857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47" s="5" cm="1">
        <f t="array" ref="O147">MIN(IF((OutputTable[GroupByKey]=OutputTable[[#This Row],[GroupByKey]]),(OutputTable[GroupByKey]=OutputTable[[#This Row],[GroupByKey]])*OutputTable[RecordedValue]))</f>
        <v>634</v>
      </c>
      <c r="P147" s="5" cm="1">
        <f t="array" ref="P147">MAX(IF((OutputTable[GroupByKey]=OutputTable[[#This Row],[GroupByKey]]),(OutputTable[GroupByKey]=OutputTable[[#This Row],[GroupByKey]])*OutputTable[RecordedValue]))</f>
        <v>731</v>
      </c>
    </row>
    <row r="148" spans="1:16">
      <c r="A148" t="s">
        <v>67</v>
      </c>
      <c r="B148" t="s">
        <v>70</v>
      </c>
      <c r="C148">
        <v>21</v>
      </c>
      <c r="D148" t="s">
        <v>111</v>
      </c>
      <c r="E148" t="s">
        <v>109</v>
      </c>
      <c r="F148" t="s">
        <v>92</v>
      </c>
      <c r="G148">
        <v>0.68393991966147405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0.6819541161040038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2.5427627669908321E-2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48" s="5" cm="1">
        <f t="array" ref="O148">MIN(IF((OutputTable[GroupByKey]=OutputTable[[#This Row],[GroupByKey]]),(OutputTable[GroupByKey]=OutputTable[[#This Row],[GroupByKey]])*OutputTable[RecordedValue]))</f>
        <v>0.62568527922134098</v>
      </c>
      <c r="P148" s="5" cm="1">
        <f t="array" ref="P148">MAX(IF((OutputTable[GroupByKey]=OutputTable[[#This Row],[GroupByKey]]),(OutputTable[GroupByKey]=OutputTable[[#This Row],[GroupByKey]])*OutputTable[RecordedValue]))</f>
        <v>0.72090720879040104</v>
      </c>
    </row>
    <row r="149" spans="1:16">
      <c r="A149" t="s">
        <v>67</v>
      </c>
      <c r="B149" t="s">
        <v>70</v>
      </c>
      <c r="C149">
        <v>22</v>
      </c>
      <c r="D149" t="s">
        <v>100</v>
      </c>
      <c r="E149" t="s">
        <v>101</v>
      </c>
      <c r="F149" t="s">
        <v>73</v>
      </c>
      <c r="G149">
        <v>664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ProjectEntity 1.NumberInNumber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684.23333333333335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24.542269424520363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49" s="5" cm="1">
        <f t="array" ref="O149">MIN(IF((OutputTable[GroupByKey]=OutputTable[[#This Row],[GroupByKey]]),(OutputTable[GroupByKey]=OutputTable[[#This Row],[GroupByKey]])*OutputTable[RecordedValue]))</f>
        <v>639</v>
      </c>
      <c r="P149" s="5" cm="1">
        <f t="array" ref="P149">MAX(IF((OutputTable[GroupByKey]=OutputTable[[#This Row],[GroupByKey]]),(OutputTable[GroupByKey]=OutputTable[[#This Row],[GroupByKey]])*OutputTable[RecordedValue]))</f>
        <v>740</v>
      </c>
    </row>
    <row r="150" spans="1:16">
      <c r="A150" t="s">
        <v>67</v>
      </c>
      <c r="B150" t="s">
        <v>70</v>
      </c>
      <c r="C150">
        <v>22</v>
      </c>
      <c r="D150" t="s">
        <v>102</v>
      </c>
      <c r="E150" t="s">
        <v>103</v>
      </c>
      <c r="F150" t="s">
        <v>73</v>
      </c>
      <c r="G150">
        <v>663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ProjectEntity 1.NumberOutNumber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679.23333333333335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24.567547045158822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50" s="5" cm="1">
        <f t="array" ref="O150">MIN(IF((OutputTable[GroupByKey]=OutputTable[[#This Row],[GroupByKey]]),(OutputTable[GroupByKey]=OutputTable[[#This Row],[GroupByKey]])*OutputTable[RecordedValue]))</f>
        <v>632</v>
      </c>
      <c r="P150" s="5" cm="1">
        <f t="array" ref="P150">MAX(IF((OutputTable[GroupByKey]=OutputTable[[#This Row],[GroupByKey]]),(OutputTable[GroupByKey]=OutputTable[[#This Row],[GroupByKey]])*OutputTable[RecordedValue]))</f>
        <v>729</v>
      </c>
    </row>
    <row r="151" spans="1:16">
      <c r="A151" t="s">
        <v>67</v>
      </c>
      <c r="B151" t="s">
        <v>70</v>
      </c>
      <c r="C151">
        <v>22</v>
      </c>
      <c r="D151" t="s">
        <v>104</v>
      </c>
      <c r="E151" t="s">
        <v>103</v>
      </c>
      <c r="F151" t="s">
        <v>105</v>
      </c>
      <c r="G151">
        <v>663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679.23333333333335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24.567547045158822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51" s="5" cm="1">
        <f t="array" ref="O151">MIN(IF((OutputTable[GroupByKey]=OutputTable[[#This Row],[GroupByKey]]),(OutputTable[GroupByKey]=OutputTable[[#This Row],[GroupByKey]])*OutputTable[RecordedValue]))</f>
        <v>632</v>
      </c>
      <c r="P151" s="5" cm="1">
        <f t="array" ref="P151">MAX(IF((OutputTable[GroupByKey]=OutputTable[[#This Row],[GroupByKey]]),(OutputTable[GroupByKey]=OutputTable[[#This Row],[GroupByKey]])*OutputTable[RecordedValue]))</f>
        <v>729</v>
      </c>
    </row>
    <row r="152" spans="1:16">
      <c r="A152" t="s">
        <v>67</v>
      </c>
      <c r="B152" t="s">
        <v>70</v>
      </c>
      <c r="C152">
        <v>22</v>
      </c>
      <c r="D152" t="s">
        <v>106</v>
      </c>
      <c r="E152" t="s">
        <v>107</v>
      </c>
      <c r="F152" t="s">
        <v>92</v>
      </c>
      <c r="G152">
        <v>664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30</v>
      </c>
      <c r="K152" s="5" cm="1">
        <f t="array" ref="K152">IFERROR(AVERAGE(IF((OutputTable[GroupByKey]=OutputTable[[#This Row],[GroupByKey]]),(OutputTable[GroupByKey]=OutputTable[[#This Row],[GroupByKey]])*OutputTable[RecordedValue])),0)</f>
        <v>682.33333333333337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24.270506201238735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52" s="5" cm="1">
        <f t="array" ref="O152">MIN(IF((OutputTable[GroupByKey]=OutputTable[[#This Row],[GroupByKey]]),(OutputTable[GroupByKey]=OutputTable[[#This Row],[GroupByKey]])*OutputTable[RecordedValue]))</f>
        <v>636</v>
      </c>
      <c r="P152" s="5" cm="1">
        <f t="array" ref="P152">MAX(IF((OutputTable[GroupByKey]=OutputTable[[#This Row],[GroupByKey]]),(OutputTable[GroupByKey]=OutputTable[[#This Row],[GroupByKey]])*OutputTable[RecordedValue]))</f>
        <v>733</v>
      </c>
    </row>
    <row r="153" spans="1:16">
      <c r="A153" t="s">
        <v>67</v>
      </c>
      <c r="B153" t="s">
        <v>70</v>
      </c>
      <c r="C153">
        <v>22</v>
      </c>
      <c r="D153" t="s">
        <v>108</v>
      </c>
      <c r="E153" t="s">
        <v>109</v>
      </c>
      <c r="F153" t="s">
        <v>92</v>
      </c>
      <c r="G153">
        <v>0.82734821790328394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30</v>
      </c>
      <c r="K153" s="5" cm="1">
        <f t="array" ref="K153">IFERROR(AVERAGE(IF((OutputTable[GroupByKey]=OutputTable[[#This Row],[GroupByKey]]),(OutputTable[GroupByKey]=OutputTable[[#This Row],[GroupByKey]])*OutputTable[RecordedValue])),0)</f>
        <v>0.85304256406630496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2.975273171257193E-2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53" s="5" cm="1">
        <f t="array" ref="O153">MIN(IF((OutputTable[GroupByKey]=OutputTable[[#This Row],[GroupByKey]]),(OutputTable[GroupByKey]=OutputTable[[#This Row],[GroupByKey]])*OutputTable[RecordedValue]))</f>
        <v>0.79563957753275305</v>
      </c>
      <c r="P153" s="5" cm="1">
        <f t="array" ref="P153">MAX(IF((OutputTable[GroupByKey]=OutputTable[[#This Row],[GroupByKey]]),(OutputTable[GroupByKey]=OutputTable[[#This Row],[GroupByKey]])*OutputTable[RecordedValue]))</f>
        <v>0.91388224334429202</v>
      </c>
    </row>
    <row r="154" spans="1:16">
      <c r="A154" t="s">
        <v>67</v>
      </c>
      <c r="B154" t="s">
        <v>70</v>
      </c>
      <c r="C154">
        <v>22</v>
      </c>
      <c r="D154" t="s">
        <v>110</v>
      </c>
      <c r="E154" t="s">
        <v>107</v>
      </c>
      <c r="F154" t="s">
        <v>92</v>
      </c>
      <c r="G154">
        <v>664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30</v>
      </c>
      <c r="K154" s="5" cm="1">
        <f t="array" ref="K154">IFERROR(AVERAGE(IF((OutputTable[GroupByKey]=OutputTable[[#This Row],[GroupByKey]]),(OutputTable[GroupByKey]=OutputTable[[#This Row],[GroupByKey]])*OutputTable[RecordedValue])),0)</f>
        <v>680.6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24.37296410595857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54" s="5" cm="1">
        <f t="array" ref="O154">MIN(IF((OutputTable[GroupByKey]=OutputTable[[#This Row],[GroupByKey]]),(OutputTable[GroupByKey]=OutputTable[[#This Row],[GroupByKey]])*OutputTable[RecordedValue]))</f>
        <v>634</v>
      </c>
      <c r="P154" s="5" cm="1">
        <f t="array" ref="P154">MAX(IF((OutputTable[GroupByKey]=OutputTable[[#This Row],[GroupByKey]]),(OutputTable[GroupByKey]=OutputTable[[#This Row],[GroupByKey]])*OutputTable[RecordedValue]))</f>
        <v>731</v>
      </c>
    </row>
    <row r="155" spans="1:16">
      <c r="A155" t="s">
        <v>67</v>
      </c>
      <c r="B155" t="s">
        <v>70</v>
      </c>
      <c r="C155">
        <v>22</v>
      </c>
      <c r="D155" t="s">
        <v>111</v>
      </c>
      <c r="E155" t="s">
        <v>109</v>
      </c>
      <c r="F155" t="s">
        <v>92</v>
      </c>
      <c r="G155">
        <v>0.66736804864654198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30</v>
      </c>
      <c r="K155" s="5" cm="1">
        <f t="array" ref="K155">IFERROR(AVERAGE(IF((OutputTable[GroupByKey]=OutputTable[[#This Row],[GroupByKey]]),(OutputTable[GroupByKey]=OutputTable[[#This Row],[GroupByKey]])*OutputTable[RecordedValue])),0)</f>
        <v>0.6819541161040038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2.5427627669908321E-2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55" s="5" cm="1">
        <f t="array" ref="O155">MIN(IF((OutputTable[GroupByKey]=OutputTable[[#This Row],[GroupByKey]]),(OutputTable[GroupByKey]=OutputTable[[#This Row],[GroupByKey]])*OutputTable[RecordedValue]))</f>
        <v>0.62568527922134098</v>
      </c>
      <c r="P155" s="5" cm="1">
        <f t="array" ref="P155">MAX(IF((OutputTable[GroupByKey]=OutputTable[[#This Row],[GroupByKey]]),(OutputTable[GroupByKey]=OutputTable[[#This Row],[GroupByKey]])*OutputTable[RecordedValue]))</f>
        <v>0.72090720879040104</v>
      </c>
    </row>
    <row r="156" spans="1:16">
      <c r="A156" t="s">
        <v>67</v>
      </c>
      <c r="B156" t="s">
        <v>70</v>
      </c>
      <c r="C156">
        <v>23</v>
      </c>
      <c r="D156" t="s">
        <v>100</v>
      </c>
      <c r="E156" t="s">
        <v>101</v>
      </c>
      <c r="F156" t="s">
        <v>73</v>
      </c>
      <c r="G156">
        <v>721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ProjectEntity 1.NumberInNumber InEntity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30</v>
      </c>
      <c r="K156" s="5" cm="1">
        <f t="array" ref="K156">IFERROR(AVERAGE(IF((OutputTable[GroupByKey]=OutputTable[[#This Row],[GroupByKey]]),(OutputTable[GroupByKey]=OutputTable[[#This Row],[GroupByKey]])*OutputTable[RecordedValue])),0)</f>
        <v>684.23333333333335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24.542269424520363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56" s="5" cm="1">
        <f t="array" ref="O156">MIN(IF((OutputTable[GroupByKey]=OutputTable[[#This Row],[GroupByKey]]),(OutputTable[GroupByKey]=OutputTable[[#This Row],[GroupByKey]])*OutputTable[RecordedValue]))</f>
        <v>639</v>
      </c>
      <c r="P156" s="5" cm="1">
        <f t="array" ref="P156">MAX(IF((OutputTable[GroupByKey]=OutputTable[[#This Row],[GroupByKey]]),(OutputTable[GroupByKey]=OutputTable[[#This Row],[GroupByKey]])*OutputTable[RecordedValue]))</f>
        <v>740</v>
      </c>
    </row>
    <row r="157" spans="1:16">
      <c r="A157" t="s">
        <v>67</v>
      </c>
      <c r="B157" t="s">
        <v>70</v>
      </c>
      <c r="C157">
        <v>23</v>
      </c>
      <c r="D157" t="s">
        <v>102</v>
      </c>
      <c r="E157" t="s">
        <v>103</v>
      </c>
      <c r="F157" t="s">
        <v>73</v>
      </c>
      <c r="G157">
        <v>717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ProjectEntity 1.NumberOutNumber OutEntity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30</v>
      </c>
      <c r="K157" s="5" cm="1">
        <f t="array" ref="K157">IFERROR(AVERAGE(IF((OutputTable[GroupByKey]=OutputTable[[#This Row],[GroupByKey]]),(OutputTable[GroupByKey]=OutputTable[[#This Row],[GroupByKey]])*OutputTable[RecordedValue])),0)</f>
        <v>679.23333333333335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24.567547045158822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57" s="5" cm="1">
        <f t="array" ref="O157">MIN(IF((OutputTable[GroupByKey]=OutputTable[[#This Row],[GroupByKey]]),(OutputTable[GroupByKey]=OutputTable[[#This Row],[GroupByKey]])*OutputTable[RecordedValue]))</f>
        <v>632</v>
      </c>
      <c r="P157" s="5" cm="1">
        <f t="array" ref="P157">MAX(IF((OutputTable[GroupByKey]=OutputTable[[#This Row],[GroupByKey]]),(OutputTable[GroupByKey]=OutputTable[[#This Row],[GroupByKey]])*OutputTable[RecordedValue]))</f>
        <v>729</v>
      </c>
    </row>
    <row r="158" spans="1:16">
      <c r="A158" t="s">
        <v>67</v>
      </c>
      <c r="B158" t="s">
        <v>70</v>
      </c>
      <c r="C158">
        <v>23</v>
      </c>
      <c r="D158" t="s">
        <v>104</v>
      </c>
      <c r="E158" t="s">
        <v>103</v>
      </c>
      <c r="F158" t="s">
        <v>105</v>
      </c>
      <c r="G158">
        <v>717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ProjectSystem.NumberOutNumber OutSystem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30</v>
      </c>
      <c r="K158" s="5" cm="1">
        <f t="array" ref="K158">IFERROR(AVERAGE(IF((OutputTable[GroupByKey]=OutputTable[[#This Row],[GroupByKey]]),(OutputTable[GroupByKey]=OutputTable[[#This Row],[GroupByKey]])*OutputTable[RecordedValue])),0)</f>
        <v>679.23333333333335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24.567547045158822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58" s="5" cm="1">
        <f t="array" ref="O158">MIN(IF((OutputTable[GroupByKey]=OutputTable[[#This Row],[GroupByKey]]),(OutputTable[GroupByKey]=OutputTable[[#This Row],[GroupByKey]])*OutputTable[RecordedValue]))</f>
        <v>632</v>
      </c>
      <c r="P158" s="5" cm="1">
        <f t="array" ref="P158">MAX(IF((OutputTable[GroupByKey]=OutputTable[[#This Row],[GroupByKey]]),(OutputTable[GroupByKey]=OutputTable[[#This Row],[GroupByKey]])*OutputTable[RecordedValue]))</f>
        <v>729</v>
      </c>
    </row>
    <row r="159" spans="1:16">
      <c r="A159" t="s">
        <v>67</v>
      </c>
      <c r="B159" t="s">
        <v>70</v>
      </c>
      <c r="C159">
        <v>23</v>
      </c>
      <c r="D159" t="s">
        <v>106</v>
      </c>
      <c r="E159" t="s">
        <v>107</v>
      </c>
      <c r="F159" t="s">
        <v>92</v>
      </c>
      <c r="G159">
        <v>720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30</v>
      </c>
      <c r="K159" s="5" cm="1">
        <f t="array" ref="K159">IFERROR(AVERAGE(IF((OutputTable[GroupByKey]=OutputTable[[#This Row],[GroupByKey]]),(OutputTable[GroupByKey]=OutputTable[[#This Row],[GroupByKey]])*OutputTable[RecordedValue])),0)</f>
        <v>682.33333333333337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24.270506201238735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59" s="5" cm="1">
        <f t="array" ref="O159">MIN(IF((OutputTable[GroupByKey]=OutputTable[[#This Row],[GroupByKey]]),(OutputTable[GroupByKey]=OutputTable[[#This Row],[GroupByKey]])*OutputTable[RecordedValue]))</f>
        <v>636</v>
      </c>
      <c r="P159" s="5" cm="1">
        <f t="array" ref="P159">MAX(IF((OutputTable[GroupByKey]=OutputTable[[#This Row],[GroupByKey]]),(OutputTable[GroupByKey]=OutputTable[[#This Row],[GroupByKey]])*OutputTable[RecordedValue]))</f>
        <v>733</v>
      </c>
    </row>
    <row r="160" spans="1:16">
      <c r="A160" t="s">
        <v>67</v>
      </c>
      <c r="B160" t="s">
        <v>70</v>
      </c>
      <c r="C160">
        <v>23</v>
      </c>
      <c r="D160" t="s">
        <v>108</v>
      </c>
      <c r="E160" t="s">
        <v>109</v>
      </c>
      <c r="F160" t="s">
        <v>92</v>
      </c>
      <c r="G160">
        <v>0.89294181827783703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30</v>
      </c>
      <c r="K160" s="5" cm="1">
        <f t="array" ref="K160">IFERROR(AVERAGE(IF((OutputTable[GroupByKey]=OutputTable[[#This Row],[GroupByKey]]),(OutputTable[GroupByKey]=OutputTable[[#This Row],[GroupByKey]])*OutputTable[RecordedValue])),0)</f>
        <v>0.85304256406630496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2.975273171257193E-2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60" s="5" cm="1">
        <f t="array" ref="O160">MIN(IF((OutputTable[GroupByKey]=OutputTable[[#This Row],[GroupByKey]]),(OutputTable[GroupByKey]=OutputTable[[#This Row],[GroupByKey]])*OutputTable[RecordedValue]))</f>
        <v>0.79563957753275305</v>
      </c>
      <c r="P160" s="5" cm="1">
        <f t="array" ref="P160">MAX(IF((OutputTable[GroupByKey]=OutputTable[[#This Row],[GroupByKey]]),(OutputTable[GroupByKey]=OutputTable[[#This Row],[GroupByKey]])*OutputTable[RecordedValue]))</f>
        <v>0.91388224334429202</v>
      </c>
    </row>
    <row r="161" spans="1:16">
      <c r="A161" t="s">
        <v>67</v>
      </c>
      <c r="B161" t="s">
        <v>70</v>
      </c>
      <c r="C161">
        <v>23</v>
      </c>
      <c r="D161" t="s">
        <v>110</v>
      </c>
      <c r="E161" t="s">
        <v>107</v>
      </c>
      <c r="F161" t="s">
        <v>92</v>
      </c>
      <c r="G161">
        <v>718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30</v>
      </c>
      <c r="K161" s="5" cm="1">
        <f t="array" ref="K161">IFERROR(AVERAGE(IF((OutputTable[GroupByKey]=OutputTable[[#This Row],[GroupByKey]]),(OutputTable[GroupByKey]=OutputTable[[#This Row],[GroupByKey]])*OutputTable[RecordedValue])),0)</f>
        <v>680.6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24.37296410595857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61" s="5" cm="1">
        <f t="array" ref="O161">MIN(IF((OutputTable[GroupByKey]=OutputTable[[#This Row],[GroupByKey]]),(OutputTable[GroupByKey]=OutputTable[[#This Row],[GroupByKey]])*OutputTable[RecordedValue]))</f>
        <v>634</v>
      </c>
      <c r="P161" s="5" cm="1">
        <f t="array" ref="P161">MAX(IF((OutputTable[GroupByKey]=OutputTable[[#This Row],[GroupByKey]]),(OutputTable[GroupByKey]=OutputTable[[#This Row],[GroupByKey]])*OutputTable[RecordedValue]))</f>
        <v>731</v>
      </c>
    </row>
    <row r="162" spans="1:16">
      <c r="A162" t="s">
        <v>67</v>
      </c>
      <c r="B162" t="s">
        <v>70</v>
      </c>
      <c r="C162">
        <v>23</v>
      </c>
      <c r="D162" t="s">
        <v>111</v>
      </c>
      <c r="E162" t="s">
        <v>109</v>
      </c>
      <c r="F162" t="s">
        <v>92</v>
      </c>
      <c r="G162">
        <v>0.72090720879040104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30</v>
      </c>
      <c r="K162" s="5" cm="1">
        <f t="array" ref="K162">IFERROR(AVERAGE(IF((OutputTable[GroupByKey]=OutputTable[[#This Row],[GroupByKey]]),(OutputTable[GroupByKey]=OutputTable[[#This Row],[GroupByKey]])*OutputTable[RecordedValue])),0)</f>
        <v>0.6819541161040038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2.5427627669908321E-2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62" s="5" cm="1">
        <f t="array" ref="O162">MIN(IF((OutputTable[GroupByKey]=OutputTable[[#This Row],[GroupByKey]]),(OutputTable[GroupByKey]=OutputTable[[#This Row],[GroupByKey]])*OutputTable[RecordedValue]))</f>
        <v>0.62568527922134098</v>
      </c>
      <c r="P162" s="5" cm="1">
        <f t="array" ref="P162">MAX(IF((OutputTable[GroupByKey]=OutputTable[[#This Row],[GroupByKey]]),(OutputTable[GroupByKey]=OutputTable[[#This Row],[GroupByKey]])*OutputTable[RecordedValue]))</f>
        <v>0.72090720879040104</v>
      </c>
    </row>
    <row r="163" spans="1:16">
      <c r="A163" t="s">
        <v>67</v>
      </c>
      <c r="B163" t="s">
        <v>70</v>
      </c>
      <c r="C163">
        <v>24</v>
      </c>
      <c r="D163" t="s">
        <v>100</v>
      </c>
      <c r="E163" t="s">
        <v>101</v>
      </c>
      <c r="F163" t="s">
        <v>73</v>
      </c>
      <c r="G163">
        <v>663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ProjectEntity 1.NumberInNumber InEntity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30</v>
      </c>
      <c r="K163" s="5" cm="1">
        <f t="array" ref="K163">IFERROR(AVERAGE(IF((OutputTable[GroupByKey]=OutputTable[[#This Row],[GroupByKey]]),(OutputTable[GroupByKey]=OutputTable[[#This Row],[GroupByKey]])*OutputTable[RecordedValue])),0)</f>
        <v>684.23333333333335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24.542269424520363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63" s="5" cm="1">
        <f t="array" ref="O163">MIN(IF((OutputTable[GroupByKey]=OutputTable[[#This Row],[GroupByKey]]),(OutputTable[GroupByKey]=OutputTable[[#This Row],[GroupByKey]])*OutputTable[RecordedValue]))</f>
        <v>639</v>
      </c>
      <c r="P163" s="5" cm="1">
        <f t="array" ref="P163">MAX(IF((OutputTable[GroupByKey]=OutputTable[[#This Row],[GroupByKey]]),(OutputTable[GroupByKey]=OutputTable[[#This Row],[GroupByKey]])*OutputTable[RecordedValue]))</f>
        <v>740</v>
      </c>
    </row>
    <row r="164" spans="1:16">
      <c r="A164" t="s">
        <v>67</v>
      </c>
      <c r="B164" t="s">
        <v>70</v>
      </c>
      <c r="C164">
        <v>24</v>
      </c>
      <c r="D164" t="s">
        <v>102</v>
      </c>
      <c r="E164" t="s">
        <v>103</v>
      </c>
      <c r="F164" t="s">
        <v>73</v>
      </c>
      <c r="G164">
        <v>660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ProjectEntity 1.NumberOutNumber OutEntity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30</v>
      </c>
      <c r="K164" s="5" cm="1">
        <f t="array" ref="K164">IFERROR(AVERAGE(IF((OutputTable[GroupByKey]=OutputTable[[#This Row],[GroupByKey]]),(OutputTable[GroupByKey]=OutputTable[[#This Row],[GroupByKey]])*OutputTable[RecordedValue])),0)</f>
        <v>679.23333333333335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24.567547045158822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64" s="5" cm="1">
        <f t="array" ref="O164">MIN(IF((OutputTable[GroupByKey]=OutputTable[[#This Row],[GroupByKey]]),(OutputTable[GroupByKey]=OutputTable[[#This Row],[GroupByKey]])*OutputTable[RecordedValue]))</f>
        <v>632</v>
      </c>
      <c r="P164" s="5" cm="1">
        <f t="array" ref="P164">MAX(IF((OutputTable[GroupByKey]=OutputTable[[#This Row],[GroupByKey]]),(OutputTable[GroupByKey]=OutputTable[[#This Row],[GroupByKey]])*OutputTable[RecordedValue]))</f>
        <v>729</v>
      </c>
    </row>
    <row r="165" spans="1:16">
      <c r="A165" t="s">
        <v>67</v>
      </c>
      <c r="B165" t="s">
        <v>70</v>
      </c>
      <c r="C165">
        <v>24</v>
      </c>
      <c r="D165" t="s">
        <v>104</v>
      </c>
      <c r="E165" t="s">
        <v>103</v>
      </c>
      <c r="F165" t="s">
        <v>105</v>
      </c>
      <c r="G165">
        <v>660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ProjectSystem.NumberOutNumber OutSystem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30</v>
      </c>
      <c r="K165" s="5" cm="1">
        <f t="array" ref="K165">IFERROR(AVERAGE(IF((OutputTable[GroupByKey]=OutputTable[[#This Row],[GroupByKey]]),(OutputTable[GroupByKey]=OutputTable[[#This Row],[GroupByKey]])*OutputTable[RecordedValue])),0)</f>
        <v>679.23333333333335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24.567547045158822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65" s="5" cm="1">
        <f t="array" ref="O165">MIN(IF((OutputTable[GroupByKey]=OutputTable[[#This Row],[GroupByKey]]),(OutputTable[GroupByKey]=OutputTable[[#This Row],[GroupByKey]])*OutputTable[RecordedValue]))</f>
        <v>632</v>
      </c>
      <c r="P165" s="5" cm="1">
        <f t="array" ref="P165">MAX(IF((OutputTable[GroupByKey]=OutputTable[[#This Row],[GroupByKey]]),(OutputTable[GroupByKey]=OutputTable[[#This Row],[GroupByKey]])*OutputTable[RecordedValue]))</f>
        <v>729</v>
      </c>
    </row>
    <row r="166" spans="1:16">
      <c r="A166" t="s">
        <v>67</v>
      </c>
      <c r="B166" t="s">
        <v>70</v>
      </c>
      <c r="C166">
        <v>24</v>
      </c>
      <c r="D166" t="s">
        <v>106</v>
      </c>
      <c r="E166" t="s">
        <v>107</v>
      </c>
      <c r="F166" t="s">
        <v>92</v>
      </c>
      <c r="G166">
        <v>663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30</v>
      </c>
      <c r="K166" s="5" cm="1">
        <f t="array" ref="K166">IFERROR(AVERAGE(IF((OutputTable[GroupByKey]=OutputTable[[#This Row],[GroupByKey]]),(OutputTable[GroupByKey]=OutputTable[[#This Row],[GroupByKey]])*OutputTable[RecordedValue])),0)</f>
        <v>682.33333333333337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24.270506201238735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66" s="5" cm="1">
        <f t="array" ref="O166">MIN(IF((OutputTable[GroupByKey]=OutputTable[[#This Row],[GroupByKey]]),(OutputTable[GroupByKey]=OutputTable[[#This Row],[GroupByKey]])*OutputTable[RecordedValue]))</f>
        <v>636</v>
      </c>
      <c r="P166" s="5" cm="1">
        <f t="array" ref="P166">MAX(IF((OutputTable[GroupByKey]=OutputTable[[#This Row],[GroupByKey]]),(OutputTable[GroupByKey]=OutputTable[[#This Row],[GroupByKey]])*OutputTable[RecordedValue]))</f>
        <v>733</v>
      </c>
    </row>
    <row r="167" spans="1:16">
      <c r="A167" t="s">
        <v>67</v>
      </c>
      <c r="B167" t="s">
        <v>70</v>
      </c>
      <c r="C167">
        <v>24</v>
      </c>
      <c r="D167" t="s">
        <v>108</v>
      </c>
      <c r="E167" t="s">
        <v>109</v>
      </c>
      <c r="F167" t="s">
        <v>92</v>
      </c>
      <c r="G167">
        <v>0.822472904252884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30</v>
      </c>
      <c r="K167" s="5" cm="1">
        <f t="array" ref="K167">IFERROR(AVERAGE(IF((OutputTable[GroupByKey]=OutputTable[[#This Row],[GroupByKey]]),(OutputTable[GroupByKey]=OutputTable[[#This Row],[GroupByKey]])*OutputTable[RecordedValue])),0)</f>
        <v>0.85304256406630496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2.975273171257193E-2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67" s="5" cm="1">
        <f t="array" ref="O167">MIN(IF((OutputTable[GroupByKey]=OutputTable[[#This Row],[GroupByKey]]),(OutputTable[GroupByKey]=OutputTable[[#This Row],[GroupByKey]])*OutputTable[RecordedValue]))</f>
        <v>0.79563957753275305</v>
      </c>
      <c r="P167" s="5" cm="1">
        <f t="array" ref="P167">MAX(IF((OutputTable[GroupByKey]=OutputTable[[#This Row],[GroupByKey]]),(OutputTable[GroupByKey]=OutputTable[[#This Row],[GroupByKey]])*OutputTable[RecordedValue]))</f>
        <v>0.91388224334429202</v>
      </c>
    </row>
    <row r="168" spans="1:16">
      <c r="A168" t="s">
        <v>67</v>
      </c>
      <c r="B168" t="s">
        <v>70</v>
      </c>
      <c r="C168">
        <v>24</v>
      </c>
      <c r="D168" t="s">
        <v>110</v>
      </c>
      <c r="E168" t="s">
        <v>107</v>
      </c>
      <c r="F168" t="s">
        <v>92</v>
      </c>
      <c r="G168">
        <v>661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30</v>
      </c>
      <c r="K168" s="5" cm="1">
        <f t="array" ref="K168">IFERROR(AVERAGE(IF((OutputTable[GroupByKey]=OutputTable[[#This Row],[GroupByKey]]),(OutputTable[GroupByKey]=OutputTable[[#This Row],[GroupByKey]])*OutputTable[RecordedValue])),0)</f>
        <v>680.6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24.37296410595857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68" s="5" cm="1">
        <f t="array" ref="O168">MIN(IF((OutputTable[GroupByKey]=OutputTable[[#This Row],[GroupByKey]]),(OutputTable[GroupByKey]=OutputTable[[#This Row],[GroupByKey]])*OutputTable[RecordedValue]))</f>
        <v>634</v>
      </c>
      <c r="P168" s="5" cm="1">
        <f t="array" ref="P168">MAX(IF((OutputTable[GroupByKey]=OutputTable[[#This Row],[GroupByKey]]),(OutputTable[GroupByKey]=OutputTable[[#This Row],[GroupByKey]])*OutputTable[RecordedValue]))</f>
        <v>731</v>
      </c>
    </row>
    <row r="169" spans="1:16">
      <c r="A169" t="s">
        <v>67</v>
      </c>
      <c r="B169" t="s">
        <v>70</v>
      </c>
      <c r="C169">
        <v>24</v>
      </c>
      <c r="D169" t="s">
        <v>111</v>
      </c>
      <c r="E169" t="s">
        <v>109</v>
      </c>
      <c r="F169" t="s">
        <v>92</v>
      </c>
      <c r="G169">
        <v>0.67269418360253397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30</v>
      </c>
      <c r="K169" s="5" cm="1">
        <f t="array" ref="K169">IFERROR(AVERAGE(IF((OutputTable[GroupByKey]=OutputTable[[#This Row],[GroupByKey]]),(OutputTable[GroupByKey]=OutputTable[[#This Row],[GroupByKey]])*OutputTable[RecordedValue])),0)</f>
        <v>0.6819541161040038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2.5427627669908321E-2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69" s="5" cm="1">
        <f t="array" ref="O169">MIN(IF((OutputTable[GroupByKey]=OutputTable[[#This Row],[GroupByKey]]),(OutputTable[GroupByKey]=OutputTable[[#This Row],[GroupByKey]])*OutputTable[RecordedValue]))</f>
        <v>0.62568527922134098</v>
      </c>
      <c r="P169" s="5" cm="1">
        <f t="array" ref="P169">MAX(IF((OutputTable[GroupByKey]=OutputTable[[#This Row],[GroupByKey]]),(OutputTable[GroupByKey]=OutputTable[[#This Row],[GroupByKey]])*OutputTable[RecordedValue]))</f>
        <v>0.72090720879040104</v>
      </c>
    </row>
    <row r="170" spans="1:16">
      <c r="A170" t="s">
        <v>67</v>
      </c>
      <c r="B170" t="s">
        <v>70</v>
      </c>
      <c r="C170">
        <v>25</v>
      </c>
      <c r="D170" t="s">
        <v>100</v>
      </c>
      <c r="E170" t="s">
        <v>101</v>
      </c>
      <c r="F170" t="s">
        <v>73</v>
      </c>
      <c r="G170">
        <v>703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ProjectEntity 1.NumberInNumber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30</v>
      </c>
      <c r="K170" s="5" cm="1">
        <f t="array" ref="K170">IFERROR(AVERAGE(IF((OutputTable[GroupByKey]=OutputTable[[#This Row],[GroupByKey]]),(OutputTable[GroupByKey]=OutputTable[[#This Row],[GroupByKey]])*OutputTable[RecordedValue])),0)</f>
        <v>684.23333333333335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24.542269424520363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70" s="5" cm="1">
        <f t="array" ref="O170">MIN(IF((OutputTable[GroupByKey]=OutputTable[[#This Row],[GroupByKey]]),(OutputTable[GroupByKey]=OutputTable[[#This Row],[GroupByKey]])*OutputTable[RecordedValue]))</f>
        <v>639</v>
      </c>
      <c r="P170" s="5" cm="1">
        <f t="array" ref="P170">MAX(IF((OutputTable[GroupByKey]=OutputTable[[#This Row],[GroupByKey]]),(OutputTable[GroupByKey]=OutputTable[[#This Row],[GroupByKey]])*OutputTable[RecordedValue]))</f>
        <v>740</v>
      </c>
    </row>
    <row r="171" spans="1:16">
      <c r="A171" t="s">
        <v>67</v>
      </c>
      <c r="B171" t="s">
        <v>70</v>
      </c>
      <c r="C171">
        <v>25</v>
      </c>
      <c r="D171" t="s">
        <v>102</v>
      </c>
      <c r="E171" t="s">
        <v>103</v>
      </c>
      <c r="F171" t="s">
        <v>73</v>
      </c>
      <c r="G171">
        <v>699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ProjectEntity 1.NumberOutNumber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30</v>
      </c>
      <c r="K171" s="5" cm="1">
        <f t="array" ref="K171">IFERROR(AVERAGE(IF((OutputTable[GroupByKey]=OutputTable[[#This Row],[GroupByKey]]),(OutputTable[GroupByKey]=OutputTable[[#This Row],[GroupByKey]])*OutputTable[RecordedValue])),0)</f>
        <v>679.23333333333335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24.567547045158822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71" s="5" cm="1">
        <f t="array" ref="O171">MIN(IF((OutputTable[GroupByKey]=OutputTable[[#This Row],[GroupByKey]]),(OutputTable[GroupByKey]=OutputTable[[#This Row],[GroupByKey]])*OutputTable[RecordedValue]))</f>
        <v>632</v>
      </c>
      <c r="P171" s="5" cm="1">
        <f t="array" ref="P171">MAX(IF((OutputTable[GroupByKey]=OutputTable[[#This Row],[GroupByKey]]),(OutputTable[GroupByKey]=OutputTable[[#This Row],[GroupByKey]])*OutputTable[RecordedValue]))</f>
        <v>729</v>
      </c>
    </row>
    <row r="172" spans="1:16">
      <c r="A172" t="s">
        <v>67</v>
      </c>
      <c r="B172" t="s">
        <v>70</v>
      </c>
      <c r="C172">
        <v>25</v>
      </c>
      <c r="D172" t="s">
        <v>104</v>
      </c>
      <c r="E172" t="s">
        <v>103</v>
      </c>
      <c r="F172" t="s">
        <v>105</v>
      </c>
      <c r="G172">
        <v>699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ProjectSystem.NumberOutNumber OutSystem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30</v>
      </c>
      <c r="K172" s="5" cm="1">
        <f t="array" ref="K172">IFERROR(AVERAGE(IF((OutputTable[GroupByKey]=OutputTable[[#This Row],[GroupByKey]]),(OutputTable[GroupByKey]=OutputTable[[#This Row],[GroupByKey]])*OutputTable[RecordedValue])),0)</f>
        <v>679.23333333333335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24.567547045158822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72" s="5" cm="1">
        <f t="array" ref="O172">MIN(IF((OutputTable[GroupByKey]=OutputTable[[#This Row],[GroupByKey]]),(OutputTable[GroupByKey]=OutputTable[[#This Row],[GroupByKey]])*OutputTable[RecordedValue]))</f>
        <v>632</v>
      </c>
      <c r="P172" s="5" cm="1">
        <f t="array" ref="P172">MAX(IF((OutputTable[GroupByKey]=OutputTable[[#This Row],[GroupByKey]]),(OutputTable[GroupByKey]=OutputTable[[#This Row],[GroupByKey]])*OutputTable[RecordedValue]))</f>
        <v>729</v>
      </c>
    </row>
    <row r="173" spans="1:16">
      <c r="A173" t="s">
        <v>67</v>
      </c>
      <c r="B173" t="s">
        <v>70</v>
      </c>
      <c r="C173">
        <v>25</v>
      </c>
      <c r="D173" t="s">
        <v>106</v>
      </c>
      <c r="E173" t="s">
        <v>107</v>
      </c>
      <c r="F173" t="s">
        <v>92</v>
      </c>
      <c r="G173">
        <v>703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30</v>
      </c>
      <c r="K173" s="5" cm="1">
        <f t="array" ref="K173">IFERROR(AVERAGE(IF((OutputTable[GroupByKey]=OutputTable[[#This Row],[GroupByKey]]),(OutputTable[GroupByKey]=OutputTable[[#This Row],[GroupByKey]])*OutputTable[RecordedValue])),0)</f>
        <v>682.33333333333337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24.270506201238735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73" s="5" cm="1">
        <f t="array" ref="O173">MIN(IF((OutputTable[GroupByKey]=OutputTable[[#This Row],[GroupByKey]]),(OutputTable[GroupByKey]=OutputTable[[#This Row],[GroupByKey]])*OutputTable[RecordedValue]))</f>
        <v>636</v>
      </c>
      <c r="P173" s="5" cm="1">
        <f t="array" ref="P173">MAX(IF((OutputTable[GroupByKey]=OutputTable[[#This Row],[GroupByKey]]),(OutputTable[GroupByKey]=OutputTable[[#This Row],[GroupByKey]])*OutputTable[RecordedValue]))</f>
        <v>733</v>
      </c>
    </row>
    <row r="174" spans="1:16">
      <c r="A174" t="s">
        <v>67</v>
      </c>
      <c r="B174" t="s">
        <v>70</v>
      </c>
      <c r="C174">
        <v>25</v>
      </c>
      <c r="D174" t="s">
        <v>108</v>
      </c>
      <c r="E174" t="s">
        <v>109</v>
      </c>
      <c r="F174" t="s">
        <v>92</v>
      </c>
      <c r="G174">
        <v>0.87741284435682299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30</v>
      </c>
      <c r="K174" s="5" cm="1">
        <f t="array" ref="K174">IFERROR(AVERAGE(IF((OutputTable[GroupByKey]=OutputTable[[#This Row],[GroupByKey]]),(OutputTable[GroupByKey]=OutputTable[[#This Row],[GroupByKey]])*OutputTable[RecordedValue])),0)</f>
        <v>0.85304256406630496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2.975273171257193E-2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74" s="5" cm="1">
        <f t="array" ref="O174">MIN(IF((OutputTable[GroupByKey]=OutputTable[[#This Row],[GroupByKey]]),(OutputTable[GroupByKey]=OutputTable[[#This Row],[GroupByKey]])*OutputTable[RecordedValue]))</f>
        <v>0.79563957753275305</v>
      </c>
      <c r="P174" s="5" cm="1">
        <f t="array" ref="P174">MAX(IF((OutputTable[GroupByKey]=OutputTable[[#This Row],[GroupByKey]]),(OutputTable[GroupByKey]=OutputTable[[#This Row],[GroupByKey]])*OutputTable[RecordedValue]))</f>
        <v>0.91388224334429202</v>
      </c>
    </row>
    <row r="175" spans="1:16">
      <c r="A175" t="s">
        <v>67</v>
      </c>
      <c r="B175" t="s">
        <v>70</v>
      </c>
      <c r="C175">
        <v>25</v>
      </c>
      <c r="D175" t="s">
        <v>110</v>
      </c>
      <c r="E175" t="s">
        <v>107</v>
      </c>
      <c r="F175" t="s">
        <v>92</v>
      </c>
      <c r="G175">
        <v>701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30</v>
      </c>
      <c r="K175" s="5" cm="1">
        <f t="array" ref="K175">IFERROR(AVERAGE(IF((OutputTable[GroupByKey]=OutputTable[[#This Row],[GroupByKey]]),(OutputTable[GroupByKey]=OutputTable[[#This Row],[GroupByKey]])*OutputTable[RecordedValue])),0)</f>
        <v>680.6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24.37296410595857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75" s="5" cm="1">
        <f t="array" ref="O175">MIN(IF((OutputTable[GroupByKey]=OutputTable[[#This Row],[GroupByKey]]),(OutputTable[GroupByKey]=OutputTable[[#This Row],[GroupByKey]])*OutputTable[RecordedValue]))</f>
        <v>634</v>
      </c>
      <c r="P175" s="5" cm="1">
        <f t="array" ref="P175">MAX(IF((OutputTable[GroupByKey]=OutputTable[[#This Row],[GroupByKey]]),(OutputTable[GroupByKey]=OutputTable[[#This Row],[GroupByKey]])*OutputTable[RecordedValue]))</f>
        <v>731</v>
      </c>
    </row>
    <row r="176" spans="1:16">
      <c r="A176" t="s">
        <v>67</v>
      </c>
      <c r="B176" t="s">
        <v>70</v>
      </c>
      <c r="C176">
        <v>25</v>
      </c>
      <c r="D176" t="s">
        <v>111</v>
      </c>
      <c r="E176" t="s">
        <v>109</v>
      </c>
      <c r="F176" t="s">
        <v>92</v>
      </c>
      <c r="G176">
        <v>0.71034840314866798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30</v>
      </c>
      <c r="K176" s="5" cm="1">
        <f t="array" ref="K176">IFERROR(AVERAGE(IF((OutputTable[GroupByKey]=OutputTable[[#This Row],[GroupByKey]]),(OutputTable[GroupByKey]=OutputTable[[#This Row],[GroupByKey]])*OutputTable[RecordedValue])),0)</f>
        <v>0.6819541161040038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2.5427627669908321E-2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76" s="5" cm="1">
        <f t="array" ref="O176">MIN(IF((OutputTable[GroupByKey]=OutputTable[[#This Row],[GroupByKey]]),(OutputTable[GroupByKey]=OutputTable[[#This Row],[GroupByKey]])*OutputTable[RecordedValue]))</f>
        <v>0.62568527922134098</v>
      </c>
      <c r="P176" s="5" cm="1">
        <f t="array" ref="P176">MAX(IF((OutputTable[GroupByKey]=OutputTable[[#This Row],[GroupByKey]]),(OutputTable[GroupByKey]=OutputTable[[#This Row],[GroupByKey]])*OutputTable[RecordedValue]))</f>
        <v>0.72090720879040104</v>
      </c>
    </row>
    <row r="177" spans="1:16">
      <c r="A177" t="s">
        <v>67</v>
      </c>
      <c r="B177" t="s">
        <v>70</v>
      </c>
      <c r="C177">
        <v>26</v>
      </c>
      <c r="D177" t="s">
        <v>100</v>
      </c>
      <c r="E177" t="s">
        <v>101</v>
      </c>
      <c r="F177" t="s">
        <v>73</v>
      </c>
      <c r="G177">
        <v>703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ProjectEntity 1.NumberInNumber InEntity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30</v>
      </c>
      <c r="K177" s="5" cm="1">
        <f t="array" ref="K177">IFERROR(AVERAGE(IF((OutputTable[GroupByKey]=OutputTable[[#This Row],[GroupByKey]]),(OutputTable[GroupByKey]=OutputTable[[#This Row],[GroupByKey]])*OutputTable[RecordedValue])),0)</f>
        <v>684.23333333333335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24.542269424520363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77" s="5" cm="1">
        <f t="array" ref="O177">MIN(IF((OutputTable[GroupByKey]=OutputTable[[#This Row],[GroupByKey]]),(OutputTable[GroupByKey]=OutputTable[[#This Row],[GroupByKey]])*OutputTable[RecordedValue]))</f>
        <v>639</v>
      </c>
      <c r="P177" s="5" cm="1">
        <f t="array" ref="P177">MAX(IF((OutputTable[GroupByKey]=OutputTable[[#This Row],[GroupByKey]]),(OutputTable[GroupByKey]=OutputTable[[#This Row],[GroupByKey]])*OutputTable[RecordedValue]))</f>
        <v>740</v>
      </c>
    </row>
    <row r="178" spans="1:16">
      <c r="A178" t="s">
        <v>67</v>
      </c>
      <c r="B178" t="s">
        <v>70</v>
      </c>
      <c r="C178">
        <v>26</v>
      </c>
      <c r="D178" t="s">
        <v>102</v>
      </c>
      <c r="E178" t="s">
        <v>103</v>
      </c>
      <c r="F178" t="s">
        <v>73</v>
      </c>
      <c r="G178">
        <v>703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ProjectEntity 1.NumberOutNumber OutEntity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30</v>
      </c>
      <c r="K178" s="5" cm="1">
        <f t="array" ref="K178">IFERROR(AVERAGE(IF((OutputTable[GroupByKey]=OutputTable[[#This Row],[GroupByKey]]),(OutputTable[GroupByKey]=OutputTable[[#This Row],[GroupByKey]])*OutputTable[RecordedValue])),0)</f>
        <v>679.23333333333335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24.567547045158822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78" s="5" cm="1">
        <f t="array" ref="O178">MIN(IF((OutputTable[GroupByKey]=OutputTable[[#This Row],[GroupByKey]]),(OutputTable[GroupByKey]=OutputTable[[#This Row],[GroupByKey]])*OutputTable[RecordedValue]))</f>
        <v>632</v>
      </c>
      <c r="P178" s="5" cm="1">
        <f t="array" ref="P178">MAX(IF((OutputTable[GroupByKey]=OutputTable[[#This Row],[GroupByKey]]),(OutputTable[GroupByKey]=OutputTable[[#This Row],[GroupByKey]])*OutputTable[RecordedValue]))</f>
        <v>729</v>
      </c>
    </row>
    <row r="179" spans="1:16">
      <c r="A179" t="s">
        <v>67</v>
      </c>
      <c r="B179" t="s">
        <v>70</v>
      </c>
      <c r="C179">
        <v>26</v>
      </c>
      <c r="D179" t="s">
        <v>104</v>
      </c>
      <c r="E179" t="s">
        <v>103</v>
      </c>
      <c r="F179" t="s">
        <v>105</v>
      </c>
      <c r="G179">
        <v>703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ProjectSystem.NumberOutNumber OutSystem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30</v>
      </c>
      <c r="K179" s="5" cm="1">
        <f t="array" ref="K179">IFERROR(AVERAGE(IF((OutputTable[GroupByKey]=OutputTable[[#This Row],[GroupByKey]]),(OutputTable[GroupByKey]=OutputTable[[#This Row],[GroupByKey]])*OutputTable[RecordedValue])),0)</f>
        <v>679.23333333333335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24.567547045158822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79" s="5" cm="1">
        <f t="array" ref="O179">MIN(IF((OutputTable[GroupByKey]=OutputTable[[#This Row],[GroupByKey]]),(OutputTable[GroupByKey]=OutputTable[[#This Row],[GroupByKey]])*OutputTable[RecordedValue]))</f>
        <v>632</v>
      </c>
      <c r="P179" s="5" cm="1">
        <f t="array" ref="P179">MAX(IF((OutputTable[GroupByKey]=OutputTable[[#This Row],[GroupByKey]]),(OutputTable[GroupByKey]=OutputTable[[#This Row],[GroupByKey]])*OutputTable[RecordedValue]))</f>
        <v>729</v>
      </c>
    </row>
    <row r="180" spans="1:16">
      <c r="A180" t="s">
        <v>67</v>
      </c>
      <c r="B180" t="s">
        <v>70</v>
      </c>
      <c r="C180">
        <v>26</v>
      </c>
      <c r="D180" t="s">
        <v>106</v>
      </c>
      <c r="E180" t="s">
        <v>107</v>
      </c>
      <c r="F180" t="s">
        <v>92</v>
      </c>
      <c r="G180">
        <v>703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30</v>
      </c>
      <c r="K180" s="5" cm="1">
        <f t="array" ref="K180">IFERROR(AVERAGE(IF((OutputTable[GroupByKey]=OutputTable[[#This Row],[GroupByKey]]),(OutputTable[GroupByKey]=OutputTable[[#This Row],[GroupByKey]])*OutputTable[RecordedValue])),0)</f>
        <v>682.33333333333337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24.270506201238735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80" s="5" cm="1">
        <f t="array" ref="O180">MIN(IF((OutputTable[GroupByKey]=OutputTable[[#This Row],[GroupByKey]]),(OutputTable[GroupByKey]=OutputTable[[#This Row],[GroupByKey]])*OutputTable[RecordedValue]))</f>
        <v>636</v>
      </c>
      <c r="P180" s="5" cm="1">
        <f t="array" ref="P180">MAX(IF((OutputTable[GroupByKey]=OutputTable[[#This Row],[GroupByKey]]),(OutputTable[GroupByKey]=OutputTable[[#This Row],[GroupByKey]])*OutputTable[RecordedValue]))</f>
        <v>733</v>
      </c>
    </row>
    <row r="181" spans="1:16">
      <c r="A181" t="s">
        <v>67</v>
      </c>
      <c r="B181" t="s">
        <v>70</v>
      </c>
      <c r="C181">
        <v>26</v>
      </c>
      <c r="D181" t="s">
        <v>108</v>
      </c>
      <c r="E181" t="s">
        <v>109</v>
      </c>
      <c r="F181" t="s">
        <v>92</v>
      </c>
      <c r="G181">
        <v>0.88261789039376104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30</v>
      </c>
      <c r="K181" s="5" cm="1">
        <f t="array" ref="K181">IFERROR(AVERAGE(IF((OutputTable[GroupByKey]=OutputTable[[#This Row],[GroupByKey]]),(OutputTable[GroupByKey]=OutputTable[[#This Row],[GroupByKey]])*OutputTable[RecordedValue])),0)</f>
        <v>0.85304256406630496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2.975273171257193E-2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81" s="5" cm="1">
        <f t="array" ref="O181">MIN(IF((OutputTable[GroupByKey]=OutputTable[[#This Row],[GroupByKey]]),(OutputTable[GroupByKey]=OutputTable[[#This Row],[GroupByKey]])*OutputTable[RecordedValue]))</f>
        <v>0.79563957753275305</v>
      </c>
      <c r="P181" s="5" cm="1">
        <f t="array" ref="P181">MAX(IF((OutputTable[GroupByKey]=OutputTable[[#This Row],[GroupByKey]]),(OutputTable[GroupByKey]=OutputTable[[#This Row],[GroupByKey]])*OutputTable[RecordedValue]))</f>
        <v>0.91388224334429202</v>
      </c>
    </row>
    <row r="182" spans="1:16">
      <c r="A182" t="s">
        <v>67</v>
      </c>
      <c r="B182" t="s">
        <v>70</v>
      </c>
      <c r="C182">
        <v>26</v>
      </c>
      <c r="D182" t="s">
        <v>110</v>
      </c>
      <c r="E182" t="s">
        <v>107</v>
      </c>
      <c r="F182" t="s">
        <v>92</v>
      </c>
      <c r="G182">
        <v>703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30</v>
      </c>
      <c r="K182" s="5" cm="1">
        <f t="array" ref="K182">IFERROR(AVERAGE(IF((OutputTable[GroupByKey]=OutputTable[[#This Row],[GroupByKey]]),(OutputTable[GroupByKey]=OutputTable[[#This Row],[GroupByKey]])*OutputTable[RecordedValue])),0)</f>
        <v>680.6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24.37296410595857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82" s="5" cm="1">
        <f t="array" ref="O182">MIN(IF((OutputTable[GroupByKey]=OutputTable[[#This Row],[GroupByKey]]),(OutputTable[GroupByKey]=OutputTable[[#This Row],[GroupByKey]])*OutputTable[RecordedValue]))</f>
        <v>634</v>
      </c>
      <c r="P182" s="5" cm="1">
        <f t="array" ref="P182">MAX(IF((OutputTable[GroupByKey]=OutputTable[[#This Row],[GroupByKey]]),(OutputTable[GroupByKey]=OutputTable[[#This Row],[GroupByKey]])*OutputTable[RecordedValue]))</f>
        <v>731</v>
      </c>
    </row>
    <row r="183" spans="1:16">
      <c r="A183" t="s">
        <v>67</v>
      </c>
      <c r="B183" t="s">
        <v>70</v>
      </c>
      <c r="C183">
        <v>26</v>
      </c>
      <c r="D183" t="s">
        <v>111</v>
      </c>
      <c r="E183" t="s">
        <v>109</v>
      </c>
      <c r="F183" t="s">
        <v>92</v>
      </c>
      <c r="G183">
        <v>0.69859355563276204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30</v>
      </c>
      <c r="K183" s="5" cm="1">
        <f t="array" ref="K183">IFERROR(AVERAGE(IF((OutputTable[GroupByKey]=OutputTable[[#This Row],[GroupByKey]]),(OutputTable[GroupByKey]=OutputTable[[#This Row],[GroupByKey]])*OutputTable[RecordedValue])),0)</f>
        <v>0.6819541161040038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2.5427627669908321E-2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83" s="5" cm="1">
        <f t="array" ref="O183">MIN(IF((OutputTable[GroupByKey]=OutputTable[[#This Row],[GroupByKey]]),(OutputTable[GroupByKey]=OutputTable[[#This Row],[GroupByKey]])*OutputTable[RecordedValue]))</f>
        <v>0.62568527922134098</v>
      </c>
      <c r="P183" s="5" cm="1">
        <f t="array" ref="P183">MAX(IF((OutputTable[GroupByKey]=OutputTable[[#This Row],[GroupByKey]]),(OutputTable[GroupByKey]=OutputTable[[#This Row],[GroupByKey]])*OutputTable[RecordedValue]))</f>
        <v>0.72090720879040104</v>
      </c>
    </row>
    <row r="184" spans="1:16">
      <c r="A184" t="s">
        <v>67</v>
      </c>
      <c r="B184" t="s">
        <v>70</v>
      </c>
      <c r="C184">
        <v>27</v>
      </c>
      <c r="D184" t="s">
        <v>100</v>
      </c>
      <c r="E184" t="s">
        <v>101</v>
      </c>
      <c r="F184" t="s">
        <v>73</v>
      </c>
      <c r="G184">
        <v>639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ProjectEntity 1.NumberInNumber InEntity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30</v>
      </c>
      <c r="K184" s="5" cm="1">
        <f t="array" ref="K184">IFERROR(AVERAGE(IF((OutputTable[GroupByKey]=OutputTable[[#This Row],[GroupByKey]]),(OutputTable[GroupByKey]=OutputTable[[#This Row],[GroupByKey]])*OutputTable[RecordedValue])),0)</f>
        <v>684.23333333333335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24.542269424520363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84" s="5" cm="1">
        <f t="array" ref="O184">MIN(IF((OutputTable[GroupByKey]=OutputTable[[#This Row],[GroupByKey]]),(OutputTable[GroupByKey]=OutputTable[[#This Row],[GroupByKey]])*OutputTable[RecordedValue]))</f>
        <v>639</v>
      </c>
      <c r="P184" s="5" cm="1">
        <f t="array" ref="P184">MAX(IF((OutputTable[GroupByKey]=OutputTable[[#This Row],[GroupByKey]]),(OutputTable[GroupByKey]=OutputTable[[#This Row],[GroupByKey]])*OutputTable[RecordedValue]))</f>
        <v>740</v>
      </c>
    </row>
    <row r="185" spans="1:16">
      <c r="A185" t="s">
        <v>67</v>
      </c>
      <c r="B185" t="s">
        <v>70</v>
      </c>
      <c r="C185">
        <v>27</v>
      </c>
      <c r="D185" t="s">
        <v>102</v>
      </c>
      <c r="E185" t="s">
        <v>103</v>
      </c>
      <c r="F185" t="s">
        <v>73</v>
      </c>
      <c r="G185">
        <v>632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ProjectEntity 1.NumberOutNumber OutEntity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30</v>
      </c>
      <c r="K185" s="5" cm="1">
        <f t="array" ref="K185">IFERROR(AVERAGE(IF((OutputTable[GroupByKey]=OutputTable[[#This Row],[GroupByKey]]),(OutputTable[GroupByKey]=OutputTable[[#This Row],[GroupByKey]])*OutputTable[RecordedValue])),0)</f>
        <v>679.23333333333335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24.567547045158822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85" s="5" cm="1">
        <f t="array" ref="O185">MIN(IF((OutputTable[GroupByKey]=OutputTable[[#This Row],[GroupByKey]]),(OutputTable[GroupByKey]=OutputTable[[#This Row],[GroupByKey]])*OutputTable[RecordedValue]))</f>
        <v>632</v>
      </c>
      <c r="P185" s="5" cm="1">
        <f t="array" ref="P185">MAX(IF((OutputTable[GroupByKey]=OutputTable[[#This Row],[GroupByKey]]),(OutputTable[GroupByKey]=OutputTable[[#This Row],[GroupByKey]])*OutputTable[RecordedValue]))</f>
        <v>729</v>
      </c>
    </row>
    <row r="186" spans="1:16">
      <c r="A186" t="s">
        <v>67</v>
      </c>
      <c r="B186" t="s">
        <v>70</v>
      </c>
      <c r="C186">
        <v>27</v>
      </c>
      <c r="D186" t="s">
        <v>104</v>
      </c>
      <c r="E186" t="s">
        <v>103</v>
      </c>
      <c r="F186" t="s">
        <v>105</v>
      </c>
      <c r="G186">
        <v>632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ProjectSystem.NumberOutNumber OutSystem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30</v>
      </c>
      <c r="K186" s="5" cm="1">
        <f t="array" ref="K186">IFERROR(AVERAGE(IF((OutputTable[GroupByKey]=OutputTable[[#This Row],[GroupByKey]]),(OutputTable[GroupByKey]=OutputTable[[#This Row],[GroupByKey]])*OutputTable[RecordedValue])),0)</f>
        <v>679.23333333333335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24.567547045158822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86" s="5" cm="1">
        <f t="array" ref="O186">MIN(IF((OutputTable[GroupByKey]=OutputTable[[#This Row],[GroupByKey]]),(OutputTable[GroupByKey]=OutputTable[[#This Row],[GroupByKey]])*OutputTable[RecordedValue]))</f>
        <v>632</v>
      </c>
      <c r="P186" s="5" cm="1">
        <f t="array" ref="P186">MAX(IF((OutputTable[GroupByKey]=OutputTable[[#This Row],[GroupByKey]]),(OutputTable[GroupByKey]=OutputTable[[#This Row],[GroupByKey]])*OutputTable[RecordedValue]))</f>
        <v>729</v>
      </c>
    </row>
    <row r="187" spans="1:16">
      <c r="A187" t="s">
        <v>67</v>
      </c>
      <c r="B187" t="s">
        <v>70</v>
      </c>
      <c r="C187">
        <v>27</v>
      </c>
      <c r="D187" t="s">
        <v>106</v>
      </c>
      <c r="E187" t="s">
        <v>107</v>
      </c>
      <c r="F187" t="s">
        <v>92</v>
      </c>
      <c r="G187">
        <v>636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30</v>
      </c>
      <c r="K187" s="5" cm="1">
        <f t="array" ref="K187">IFERROR(AVERAGE(IF((OutputTable[GroupByKey]=OutputTable[[#This Row],[GroupByKey]]),(OutputTable[GroupByKey]=OutputTable[[#This Row],[GroupByKey]])*OutputTable[RecordedValue])),0)</f>
        <v>682.33333333333337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24.270506201238735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87" s="5" cm="1">
        <f t="array" ref="O187">MIN(IF((OutputTable[GroupByKey]=OutputTable[[#This Row],[GroupByKey]]),(OutputTable[GroupByKey]=OutputTable[[#This Row],[GroupByKey]])*OutputTable[RecordedValue]))</f>
        <v>636</v>
      </c>
      <c r="P187" s="5" cm="1">
        <f t="array" ref="P187">MAX(IF((OutputTable[GroupByKey]=OutputTable[[#This Row],[GroupByKey]]),(OutputTable[GroupByKey]=OutputTable[[#This Row],[GroupByKey]])*OutputTable[RecordedValue]))</f>
        <v>733</v>
      </c>
    </row>
    <row r="188" spans="1:16">
      <c r="A188" t="s">
        <v>67</v>
      </c>
      <c r="B188" t="s">
        <v>70</v>
      </c>
      <c r="C188">
        <v>27</v>
      </c>
      <c r="D188" t="s">
        <v>108</v>
      </c>
      <c r="E188" t="s">
        <v>109</v>
      </c>
      <c r="F188" t="s">
        <v>92</v>
      </c>
      <c r="G188">
        <v>0.79563957753275305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30</v>
      </c>
      <c r="K188" s="5" cm="1">
        <f t="array" ref="K188">IFERROR(AVERAGE(IF((OutputTable[GroupByKey]=OutputTable[[#This Row],[GroupByKey]]),(OutputTable[GroupByKey]=OutputTable[[#This Row],[GroupByKey]])*OutputTable[RecordedValue])),0)</f>
        <v>0.85304256406630496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2.975273171257193E-2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88" s="5" cm="1">
        <f t="array" ref="O188">MIN(IF((OutputTable[GroupByKey]=OutputTable[[#This Row],[GroupByKey]]),(OutputTable[GroupByKey]=OutputTable[[#This Row],[GroupByKey]])*OutputTable[RecordedValue]))</f>
        <v>0.79563957753275305</v>
      </c>
      <c r="P188" s="5" cm="1">
        <f t="array" ref="P188">MAX(IF((OutputTable[GroupByKey]=OutputTable[[#This Row],[GroupByKey]]),(OutputTable[GroupByKey]=OutputTable[[#This Row],[GroupByKey]])*OutputTable[RecordedValue]))</f>
        <v>0.91388224334429202</v>
      </c>
    </row>
    <row r="189" spans="1:16">
      <c r="A189" t="s">
        <v>67</v>
      </c>
      <c r="B189" t="s">
        <v>70</v>
      </c>
      <c r="C189">
        <v>27</v>
      </c>
      <c r="D189" t="s">
        <v>110</v>
      </c>
      <c r="E189" t="s">
        <v>107</v>
      </c>
      <c r="F189" t="s">
        <v>92</v>
      </c>
      <c r="G189">
        <v>634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30</v>
      </c>
      <c r="K189" s="5" cm="1">
        <f t="array" ref="K189">IFERROR(AVERAGE(IF((OutputTable[GroupByKey]=OutputTable[[#This Row],[GroupByKey]]),(OutputTable[GroupByKey]=OutputTable[[#This Row],[GroupByKey]])*OutputTable[RecordedValue])),0)</f>
        <v>680.6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24.37296410595857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89" s="5" cm="1">
        <f t="array" ref="O189">MIN(IF((OutputTable[GroupByKey]=OutputTable[[#This Row],[GroupByKey]]),(OutputTable[GroupByKey]=OutputTable[[#This Row],[GroupByKey]])*OutputTable[RecordedValue]))</f>
        <v>634</v>
      </c>
      <c r="P189" s="5" cm="1">
        <f t="array" ref="P189">MAX(IF((OutputTable[GroupByKey]=OutputTable[[#This Row],[GroupByKey]]),(OutputTable[GroupByKey]=OutputTable[[#This Row],[GroupByKey]])*OutputTable[RecordedValue]))</f>
        <v>731</v>
      </c>
    </row>
    <row r="190" spans="1:16">
      <c r="A190" t="s">
        <v>67</v>
      </c>
      <c r="B190" t="s">
        <v>70</v>
      </c>
      <c r="C190">
        <v>27</v>
      </c>
      <c r="D190" t="s">
        <v>111</v>
      </c>
      <c r="E190" t="s">
        <v>109</v>
      </c>
      <c r="F190" t="s">
        <v>92</v>
      </c>
      <c r="G190">
        <v>0.62568527922134098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30</v>
      </c>
      <c r="K190" s="5" cm="1">
        <f t="array" ref="K190">IFERROR(AVERAGE(IF((OutputTable[GroupByKey]=OutputTable[[#This Row],[GroupByKey]]),(OutputTable[GroupByKey]=OutputTable[[#This Row],[GroupByKey]])*OutputTable[RecordedValue])),0)</f>
        <v>0.6819541161040038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2.5427627669908321E-2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90" s="5" cm="1">
        <f t="array" ref="O190">MIN(IF((OutputTable[GroupByKey]=OutputTable[[#This Row],[GroupByKey]]),(OutputTable[GroupByKey]=OutputTable[[#This Row],[GroupByKey]])*OutputTable[RecordedValue]))</f>
        <v>0.62568527922134098</v>
      </c>
      <c r="P190" s="5" cm="1">
        <f t="array" ref="P190">MAX(IF((OutputTable[GroupByKey]=OutputTable[[#This Row],[GroupByKey]]),(OutputTable[GroupByKey]=OutputTable[[#This Row],[GroupByKey]])*OutputTable[RecordedValue]))</f>
        <v>0.72090720879040104</v>
      </c>
    </row>
    <row r="191" spans="1:16">
      <c r="A191" t="s">
        <v>67</v>
      </c>
      <c r="B191" t="s">
        <v>70</v>
      </c>
      <c r="C191">
        <v>28</v>
      </c>
      <c r="D191" t="s">
        <v>100</v>
      </c>
      <c r="E191" t="s">
        <v>101</v>
      </c>
      <c r="F191" t="s">
        <v>73</v>
      </c>
      <c r="G191">
        <v>686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ProjectEntity 1.NumberInNumber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30</v>
      </c>
      <c r="K191" s="5" cm="1">
        <f t="array" ref="K191">IFERROR(AVERAGE(IF((OutputTable[GroupByKey]=OutputTable[[#This Row],[GroupByKey]]),(OutputTable[GroupByKey]=OutputTable[[#This Row],[GroupByKey]])*OutputTable[RecordedValue])),0)</f>
        <v>684.23333333333335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24.542269424520363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91" s="5" cm="1">
        <f t="array" ref="O191">MIN(IF((OutputTable[GroupByKey]=OutputTable[[#This Row],[GroupByKey]]),(OutputTable[GroupByKey]=OutputTable[[#This Row],[GroupByKey]])*OutputTable[RecordedValue]))</f>
        <v>639</v>
      </c>
      <c r="P191" s="5" cm="1">
        <f t="array" ref="P191">MAX(IF((OutputTable[GroupByKey]=OutputTable[[#This Row],[GroupByKey]]),(OutputTable[GroupByKey]=OutputTable[[#This Row],[GroupByKey]])*OutputTable[RecordedValue]))</f>
        <v>740</v>
      </c>
    </row>
    <row r="192" spans="1:16">
      <c r="A192" t="s">
        <v>67</v>
      </c>
      <c r="B192" t="s">
        <v>70</v>
      </c>
      <c r="C192">
        <v>28</v>
      </c>
      <c r="D192" t="s">
        <v>102</v>
      </c>
      <c r="E192" t="s">
        <v>103</v>
      </c>
      <c r="F192" t="s">
        <v>73</v>
      </c>
      <c r="G192">
        <v>683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ProjectEntity 1.NumberOutNumber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30</v>
      </c>
      <c r="K192" s="5" cm="1">
        <f t="array" ref="K192">IFERROR(AVERAGE(IF((OutputTable[GroupByKey]=OutputTable[[#This Row],[GroupByKey]]),(OutputTable[GroupByKey]=OutputTable[[#This Row],[GroupByKey]])*OutputTable[RecordedValue])),0)</f>
        <v>679.23333333333335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24.567547045158822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92" s="5" cm="1">
        <f t="array" ref="O192">MIN(IF((OutputTable[GroupByKey]=OutputTable[[#This Row],[GroupByKey]]),(OutputTable[GroupByKey]=OutputTable[[#This Row],[GroupByKey]])*OutputTable[RecordedValue]))</f>
        <v>632</v>
      </c>
      <c r="P192" s="5" cm="1">
        <f t="array" ref="P192">MAX(IF((OutputTable[GroupByKey]=OutputTable[[#This Row],[GroupByKey]]),(OutputTable[GroupByKey]=OutputTable[[#This Row],[GroupByKey]])*OutputTable[RecordedValue]))</f>
        <v>729</v>
      </c>
    </row>
    <row r="193" spans="1:16">
      <c r="A193" t="s">
        <v>67</v>
      </c>
      <c r="B193" t="s">
        <v>70</v>
      </c>
      <c r="C193">
        <v>28</v>
      </c>
      <c r="D193" t="s">
        <v>104</v>
      </c>
      <c r="E193" t="s">
        <v>103</v>
      </c>
      <c r="F193" t="s">
        <v>105</v>
      </c>
      <c r="G193">
        <v>683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ProjectSystem.NumberOutNumber OutSystem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30</v>
      </c>
      <c r="K193" s="5" cm="1">
        <f t="array" ref="K193">IFERROR(AVERAGE(IF((OutputTable[GroupByKey]=OutputTable[[#This Row],[GroupByKey]]),(OutputTable[GroupByKey]=OutputTable[[#This Row],[GroupByKey]])*OutputTable[RecordedValue])),0)</f>
        <v>679.23333333333335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24.567547045158822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93" s="5" cm="1">
        <f t="array" ref="O193">MIN(IF((OutputTable[GroupByKey]=OutputTable[[#This Row],[GroupByKey]]),(OutputTable[GroupByKey]=OutputTable[[#This Row],[GroupByKey]])*OutputTable[RecordedValue]))</f>
        <v>632</v>
      </c>
      <c r="P193" s="5" cm="1">
        <f t="array" ref="P193">MAX(IF((OutputTable[GroupByKey]=OutputTable[[#This Row],[GroupByKey]]),(OutputTable[GroupByKey]=OutputTable[[#This Row],[GroupByKey]])*OutputTable[RecordedValue]))</f>
        <v>729</v>
      </c>
    </row>
    <row r="194" spans="1:16">
      <c r="A194" t="s">
        <v>67</v>
      </c>
      <c r="B194" t="s">
        <v>70</v>
      </c>
      <c r="C194">
        <v>28</v>
      </c>
      <c r="D194" t="s">
        <v>106</v>
      </c>
      <c r="E194" t="s">
        <v>107</v>
      </c>
      <c r="F194" t="s">
        <v>92</v>
      </c>
      <c r="G194">
        <v>686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30</v>
      </c>
      <c r="K194" s="5" cm="1">
        <f t="array" ref="K194">IFERROR(AVERAGE(IF((OutputTable[GroupByKey]=OutputTable[[#This Row],[GroupByKey]]),(OutputTable[GroupByKey]=OutputTable[[#This Row],[GroupByKey]])*OutputTable[RecordedValue])),0)</f>
        <v>682.33333333333337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24.270506201238735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194" s="5" cm="1">
        <f t="array" ref="O194">MIN(IF((OutputTable[GroupByKey]=OutputTable[[#This Row],[GroupByKey]]),(OutputTable[GroupByKey]=OutputTable[[#This Row],[GroupByKey]])*OutputTable[RecordedValue]))</f>
        <v>636</v>
      </c>
      <c r="P194" s="5" cm="1">
        <f t="array" ref="P194">MAX(IF((OutputTable[GroupByKey]=OutputTable[[#This Row],[GroupByKey]]),(OutputTable[GroupByKey]=OutputTable[[#This Row],[GroupByKey]])*OutputTable[RecordedValue]))</f>
        <v>733</v>
      </c>
    </row>
    <row r="195" spans="1:16">
      <c r="A195" t="s">
        <v>67</v>
      </c>
      <c r="B195" t="s">
        <v>70</v>
      </c>
      <c r="C195">
        <v>28</v>
      </c>
      <c r="D195" t="s">
        <v>108</v>
      </c>
      <c r="E195" t="s">
        <v>109</v>
      </c>
      <c r="F195" t="s">
        <v>92</v>
      </c>
      <c r="G195">
        <v>0.85298505910226696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30</v>
      </c>
      <c r="K195" s="5" cm="1">
        <f t="array" ref="K195">IFERROR(AVERAGE(IF((OutputTable[GroupByKey]=OutputTable[[#This Row],[GroupByKey]]),(OutputTable[GroupByKey]=OutputTable[[#This Row],[GroupByKey]])*OutputTable[RecordedValue])),0)</f>
        <v>0.85304256406630496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2.975273171257193E-2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195" s="5" cm="1">
        <f t="array" ref="O195">MIN(IF((OutputTable[GroupByKey]=OutputTable[[#This Row],[GroupByKey]]),(OutputTable[GroupByKey]=OutputTable[[#This Row],[GroupByKey]])*OutputTable[RecordedValue]))</f>
        <v>0.79563957753275305</v>
      </c>
      <c r="P195" s="5" cm="1">
        <f t="array" ref="P195">MAX(IF((OutputTable[GroupByKey]=OutputTable[[#This Row],[GroupByKey]]),(OutputTable[GroupByKey]=OutputTable[[#This Row],[GroupByKey]])*OutputTable[RecordedValue]))</f>
        <v>0.91388224334429202</v>
      </c>
    </row>
    <row r="196" spans="1:16">
      <c r="A196" t="s">
        <v>67</v>
      </c>
      <c r="B196" t="s">
        <v>70</v>
      </c>
      <c r="C196">
        <v>28</v>
      </c>
      <c r="D196" t="s">
        <v>110</v>
      </c>
      <c r="E196" t="s">
        <v>107</v>
      </c>
      <c r="F196" t="s">
        <v>92</v>
      </c>
      <c r="G196">
        <v>684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30</v>
      </c>
      <c r="K196" s="5" cm="1">
        <f t="array" ref="K196">IFERROR(AVERAGE(IF((OutputTable[GroupByKey]=OutputTable[[#This Row],[GroupByKey]]),(OutputTable[GroupByKey]=OutputTable[[#This Row],[GroupByKey]])*OutputTable[RecordedValue])),0)</f>
        <v>680.6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24.37296410595857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196" s="5" cm="1">
        <f t="array" ref="O196">MIN(IF((OutputTable[GroupByKey]=OutputTable[[#This Row],[GroupByKey]]),(OutputTable[GroupByKey]=OutputTable[[#This Row],[GroupByKey]])*OutputTable[RecordedValue]))</f>
        <v>634</v>
      </c>
      <c r="P196" s="5" cm="1">
        <f t="array" ref="P196">MAX(IF((OutputTable[GroupByKey]=OutputTable[[#This Row],[GroupByKey]]),(OutputTable[GroupByKey]=OutputTable[[#This Row],[GroupByKey]])*OutputTable[RecordedValue]))</f>
        <v>731</v>
      </c>
    </row>
    <row r="197" spans="1:16">
      <c r="A197" t="s">
        <v>67</v>
      </c>
      <c r="B197" t="s">
        <v>70</v>
      </c>
      <c r="C197">
        <v>28</v>
      </c>
      <c r="D197" t="s">
        <v>111</v>
      </c>
      <c r="E197" t="s">
        <v>109</v>
      </c>
      <c r="F197" t="s">
        <v>92</v>
      </c>
      <c r="G197">
        <v>0.67395224122644704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30</v>
      </c>
      <c r="K197" s="5" cm="1">
        <f t="array" ref="K197">IFERROR(AVERAGE(IF((OutputTable[GroupByKey]=OutputTable[[#This Row],[GroupByKey]]),(OutputTable[GroupByKey]=OutputTable[[#This Row],[GroupByKey]])*OutputTable[RecordedValue])),0)</f>
        <v>0.6819541161040038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2.5427627669908321E-2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197" s="5" cm="1">
        <f t="array" ref="O197">MIN(IF((OutputTable[GroupByKey]=OutputTable[[#This Row],[GroupByKey]]),(OutputTable[GroupByKey]=OutputTable[[#This Row],[GroupByKey]])*OutputTable[RecordedValue]))</f>
        <v>0.62568527922134098</v>
      </c>
      <c r="P197" s="5" cm="1">
        <f t="array" ref="P197">MAX(IF((OutputTable[GroupByKey]=OutputTable[[#This Row],[GroupByKey]]),(OutputTable[GroupByKey]=OutputTable[[#This Row],[GroupByKey]])*OutputTable[RecordedValue]))</f>
        <v>0.72090720879040104</v>
      </c>
    </row>
    <row r="198" spans="1:16">
      <c r="A198" t="s">
        <v>67</v>
      </c>
      <c r="B198" t="s">
        <v>70</v>
      </c>
      <c r="C198">
        <v>29</v>
      </c>
      <c r="D198" t="s">
        <v>100</v>
      </c>
      <c r="E198" t="s">
        <v>101</v>
      </c>
      <c r="F198" t="s">
        <v>73</v>
      </c>
      <c r="G198">
        <v>740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ProjectEntity 1.NumberInNumber InEntity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30</v>
      </c>
      <c r="K198" s="5" cm="1">
        <f t="array" ref="K198">IFERROR(AVERAGE(IF((OutputTable[GroupByKey]=OutputTable[[#This Row],[GroupByKey]]),(OutputTable[GroupByKey]=OutputTable[[#This Row],[GroupByKey]])*OutputTable[RecordedValue])),0)</f>
        <v>684.23333333333335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24.542269424520363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198" s="5" cm="1">
        <f t="array" ref="O198">MIN(IF((OutputTable[GroupByKey]=OutputTable[[#This Row],[GroupByKey]]),(OutputTable[GroupByKey]=OutputTable[[#This Row],[GroupByKey]])*OutputTable[RecordedValue]))</f>
        <v>639</v>
      </c>
      <c r="P198" s="5" cm="1">
        <f t="array" ref="P198">MAX(IF((OutputTable[GroupByKey]=OutputTable[[#This Row],[GroupByKey]]),(OutputTable[GroupByKey]=OutputTable[[#This Row],[GroupByKey]])*OutputTable[RecordedValue]))</f>
        <v>740</v>
      </c>
    </row>
    <row r="199" spans="1:16">
      <c r="A199" t="s">
        <v>67</v>
      </c>
      <c r="B199" t="s">
        <v>70</v>
      </c>
      <c r="C199">
        <v>29</v>
      </c>
      <c r="D199" t="s">
        <v>102</v>
      </c>
      <c r="E199" t="s">
        <v>103</v>
      </c>
      <c r="F199" t="s">
        <v>73</v>
      </c>
      <c r="G199">
        <v>729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ProjectEntity 1.NumberOutNumber OutEntity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30</v>
      </c>
      <c r="K199" s="5" cm="1">
        <f t="array" ref="K199">IFERROR(AVERAGE(IF((OutputTable[GroupByKey]=OutputTable[[#This Row],[GroupByKey]]),(OutputTable[GroupByKey]=OutputTable[[#This Row],[GroupByKey]])*OutputTable[RecordedValue])),0)</f>
        <v>679.23333333333335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24.567547045158822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199" s="5" cm="1">
        <f t="array" ref="O199">MIN(IF((OutputTable[GroupByKey]=OutputTable[[#This Row],[GroupByKey]]),(OutputTable[GroupByKey]=OutputTable[[#This Row],[GroupByKey]])*OutputTable[RecordedValue]))</f>
        <v>632</v>
      </c>
      <c r="P199" s="5" cm="1">
        <f t="array" ref="P199">MAX(IF((OutputTable[GroupByKey]=OutputTable[[#This Row],[GroupByKey]]),(OutputTable[GroupByKey]=OutputTable[[#This Row],[GroupByKey]])*OutputTable[RecordedValue]))</f>
        <v>729</v>
      </c>
    </row>
    <row r="200" spans="1:16">
      <c r="A200" t="s">
        <v>67</v>
      </c>
      <c r="B200" t="s">
        <v>70</v>
      </c>
      <c r="C200">
        <v>29</v>
      </c>
      <c r="D200" t="s">
        <v>104</v>
      </c>
      <c r="E200" t="s">
        <v>103</v>
      </c>
      <c r="F200" t="s">
        <v>105</v>
      </c>
      <c r="G200">
        <v>729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ProjectSystem.NumberOutNumber OutSystem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30</v>
      </c>
      <c r="K200" s="5" cm="1">
        <f t="array" ref="K200">IFERROR(AVERAGE(IF((OutputTable[GroupByKey]=OutputTable[[#This Row],[GroupByKey]]),(OutputTable[GroupByKey]=OutputTable[[#This Row],[GroupByKey]])*OutputTable[RecordedValue])),0)</f>
        <v>679.23333333333335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24.567547045158822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200" s="5" cm="1">
        <f t="array" ref="O200">MIN(IF((OutputTable[GroupByKey]=OutputTable[[#This Row],[GroupByKey]]),(OutputTable[GroupByKey]=OutputTable[[#This Row],[GroupByKey]])*OutputTable[RecordedValue]))</f>
        <v>632</v>
      </c>
      <c r="P200" s="5" cm="1">
        <f t="array" ref="P200">MAX(IF((OutputTable[GroupByKey]=OutputTable[[#This Row],[GroupByKey]]),(OutputTable[GroupByKey]=OutputTable[[#This Row],[GroupByKey]])*OutputTable[RecordedValue]))</f>
        <v>729</v>
      </c>
    </row>
    <row r="201" spans="1:16">
      <c r="A201" t="s">
        <v>67</v>
      </c>
      <c r="B201" t="s">
        <v>70</v>
      </c>
      <c r="C201">
        <v>29</v>
      </c>
      <c r="D201" t="s">
        <v>106</v>
      </c>
      <c r="E201" t="s">
        <v>107</v>
      </c>
      <c r="F201" t="s">
        <v>92</v>
      </c>
      <c r="G201">
        <v>733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30</v>
      </c>
      <c r="K201" s="5" cm="1">
        <f t="array" ref="K201">IFERROR(AVERAGE(IF((OutputTable[GroupByKey]=OutputTable[[#This Row],[GroupByKey]]),(OutputTable[GroupByKey]=OutputTable[[#This Row],[GroupByKey]])*OutputTable[RecordedValue])),0)</f>
        <v>682.33333333333337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24.270506201238735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201" s="5" cm="1">
        <f t="array" ref="O201">MIN(IF((OutputTable[GroupByKey]=OutputTable[[#This Row],[GroupByKey]]),(OutputTable[GroupByKey]=OutputTable[[#This Row],[GroupByKey]])*OutputTable[RecordedValue]))</f>
        <v>636</v>
      </c>
      <c r="P201" s="5" cm="1">
        <f t="array" ref="P201">MAX(IF((OutputTable[GroupByKey]=OutputTable[[#This Row],[GroupByKey]]),(OutputTable[GroupByKey]=OutputTable[[#This Row],[GroupByKey]])*OutputTable[RecordedValue]))</f>
        <v>733</v>
      </c>
    </row>
    <row r="202" spans="1:16">
      <c r="A202" t="s">
        <v>67</v>
      </c>
      <c r="B202" t="s">
        <v>70</v>
      </c>
      <c r="C202">
        <v>29</v>
      </c>
      <c r="D202" t="s">
        <v>108</v>
      </c>
      <c r="E202" t="s">
        <v>109</v>
      </c>
      <c r="F202" t="s">
        <v>92</v>
      </c>
      <c r="G202">
        <v>0.91388224334429202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30</v>
      </c>
      <c r="K202" s="5" cm="1">
        <f t="array" ref="K202">IFERROR(AVERAGE(IF((OutputTable[GroupByKey]=OutputTable[[#This Row],[GroupByKey]]),(OutputTable[GroupByKey]=OutputTable[[#This Row],[GroupByKey]])*OutputTable[RecordedValue])),0)</f>
        <v>0.85304256406630496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2.975273171257193E-2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202" s="5" cm="1">
        <f t="array" ref="O202">MIN(IF((OutputTable[GroupByKey]=OutputTable[[#This Row],[GroupByKey]]),(OutputTable[GroupByKey]=OutputTable[[#This Row],[GroupByKey]])*OutputTable[RecordedValue]))</f>
        <v>0.79563957753275305</v>
      </c>
      <c r="P202" s="5" cm="1">
        <f t="array" ref="P202">MAX(IF((OutputTable[GroupByKey]=OutputTable[[#This Row],[GroupByKey]]),(OutputTable[GroupByKey]=OutputTable[[#This Row],[GroupByKey]])*OutputTable[RecordedValue]))</f>
        <v>0.91388224334429202</v>
      </c>
    </row>
    <row r="203" spans="1:16">
      <c r="A203" t="s">
        <v>67</v>
      </c>
      <c r="B203" t="s">
        <v>70</v>
      </c>
      <c r="C203">
        <v>29</v>
      </c>
      <c r="D203" t="s">
        <v>110</v>
      </c>
      <c r="E203" t="s">
        <v>107</v>
      </c>
      <c r="F203" t="s">
        <v>92</v>
      </c>
      <c r="G203">
        <v>731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30</v>
      </c>
      <c r="K203" s="5" cm="1">
        <f t="array" ref="K203">IFERROR(AVERAGE(IF((OutputTable[GroupByKey]=OutputTable[[#This Row],[GroupByKey]]),(OutputTable[GroupByKey]=OutputTable[[#This Row],[GroupByKey]])*OutputTable[RecordedValue])),0)</f>
        <v>680.6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24.37296410595857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203" s="5" cm="1">
        <f t="array" ref="O203">MIN(IF((OutputTable[GroupByKey]=OutputTable[[#This Row],[GroupByKey]]),(OutputTable[GroupByKey]=OutputTable[[#This Row],[GroupByKey]])*OutputTable[RecordedValue]))</f>
        <v>634</v>
      </c>
      <c r="P203" s="5" cm="1">
        <f t="array" ref="P203">MAX(IF((OutputTable[GroupByKey]=OutputTable[[#This Row],[GroupByKey]]),(OutputTable[GroupByKey]=OutputTable[[#This Row],[GroupByKey]])*OutputTable[RecordedValue]))</f>
        <v>731</v>
      </c>
    </row>
    <row r="204" spans="1:16">
      <c r="A204" t="s">
        <v>67</v>
      </c>
      <c r="B204" t="s">
        <v>70</v>
      </c>
      <c r="C204">
        <v>29</v>
      </c>
      <c r="D204" t="s">
        <v>111</v>
      </c>
      <c r="E204" t="s">
        <v>109</v>
      </c>
      <c r="F204" t="s">
        <v>92</v>
      </c>
      <c r="G204">
        <v>0.71873216216834901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30</v>
      </c>
      <c r="K204" s="5" cm="1">
        <f t="array" ref="K204">IFERROR(AVERAGE(IF((OutputTable[GroupByKey]=OutputTable[[#This Row],[GroupByKey]]),(OutputTable[GroupByKey]=OutputTable[[#This Row],[GroupByKey]])*OutputTable[RecordedValue])),0)</f>
        <v>0.6819541161040038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2.5427627669908321E-2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204" s="5" cm="1">
        <f t="array" ref="O204">MIN(IF((OutputTable[GroupByKey]=OutputTable[[#This Row],[GroupByKey]]),(OutputTable[GroupByKey]=OutputTable[[#This Row],[GroupByKey]])*OutputTable[RecordedValue]))</f>
        <v>0.62568527922134098</v>
      </c>
      <c r="P204" s="5" cm="1">
        <f t="array" ref="P204">MAX(IF((OutputTable[GroupByKey]=OutputTable[[#This Row],[GroupByKey]]),(OutputTable[GroupByKey]=OutputTable[[#This Row],[GroupByKey]])*OutputTable[RecordedValue]))</f>
        <v>0.72090720879040104</v>
      </c>
    </row>
    <row r="205" spans="1:16">
      <c r="A205" t="s">
        <v>67</v>
      </c>
      <c r="B205" t="s">
        <v>70</v>
      </c>
      <c r="C205">
        <v>30</v>
      </c>
      <c r="D205" t="s">
        <v>100</v>
      </c>
      <c r="E205" t="s">
        <v>101</v>
      </c>
      <c r="F205" t="s">
        <v>73</v>
      </c>
      <c r="G205">
        <v>682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ProjectEntity 1.NumberInNumber InEntity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30</v>
      </c>
      <c r="K205" s="5" cm="1">
        <f t="array" ref="K205">IFERROR(AVERAGE(IF((OutputTable[GroupByKey]=OutputTable[[#This Row],[GroupByKey]]),(OutputTable[GroupByKey]=OutputTable[[#This Row],[GroupByKey]])*OutputTable[RecordedValue])),0)</f>
        <v>684.23333333333335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24.542269424520363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9.1642340130865865</v>
      </c>
      <c r="O205" s="5" cm="1">
        <f t="array" ref="O205">MIN(IF((OutputTable[GroupByKey]=OutputTable[[#This Row],[GroupByKey]]),(OutputTable[GroupByKey]=OutputTable[[#This Row],[GroupByKey]])*OutputTable[RecordedValue]))</f>
        <v>639</v>
      </c>
      <c r="P205" s="5" cm="1">
        <f t="array" ref="P205">MAX(IF((OutputTable[GroupByKey]=OutputTable[[#This Row],[GroupByKey]]),(OutputTable[GroupByKey]=OutputTable[[#This Row],[GroupByKey]])*OutputTable[RecordedValue]))</f>
        <v>740</v>
      </c>
    </row>
    <row r="206" spans="1:16">
      <c r="A206" t="s">
        <v>67</v>
      </c>
      <c r="B206" t="s">
        <v>70</v>
      </c>
      <c r="C206">
        <v>30</v>
      </c>
      <c r="D206" t="s">
        <v>102</v>
      </c>
      <c r="E206" t="s">
        <v>103</v>
      </c>
      <c r="F206" t="s">
        <v>73</v>
      </c>
      <c r="G206">
        <v>675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ProjectEntity 1.NumberOutNumber OutEntity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30</v>
      </c>
      <c r="K206" s="5" cm="1">
        <f t="array" ref="K206">IFERROR(AVERAGE(IF((OutputTable[GroupByKey]=OutputTable[[#This Row],[GroupByKey]]),(OutputTable[GroupByKey]=OutputTable[[#This Row],[GroupByKey]])*OutputTable[RecordedValue])),0)</f>
        <v>679.23333333333335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24.567547045158822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206" s="5" cm="1">
        <f t="array" ref="O206">MIN(IF((OutputTable[GroupByKey]=OutputTable[[#This Row],[GroupByKey]]),(OutputTable[GroupByKey]=OutputTable[[#This Row],[GroupByKey]])*OutputTable[RecordedValue]))</f>
        <v>632</v>
      </c>
      <c r="P206" s="5" cm="1">
        <f t="array" ref="P206">MAX(IF((OutputTable[GroupByKey]=OutputTable[[#This Row],[GroupByKey]]),(OutputTable[GroupByKey]=OutputTable[[#This Row],[GroupByKey]])*OutputTable[RecordedValue]))</f>
        <v>729</v>
      </c>
    </row>
    <row r="207" spans="1:16">
      <c r="A207" t="s">
        <v>67</v>
      </c>
      <c r="B207" t="s">
        <v>70</v>
      </c>
      <c r="C207">
        <v>30</v>
      </c>
      <c r="D207" t="s">
        <v>104</v>
      </c>
      <c r="E207" t="s">
        <v>103</v>
      </c>
      <c r="F207" t="s">
        <v>105</v>
      </c>
      <c r="G207">
        <v>675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ProjectSystem.NumberOutNumber OutSystem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30</v>
      </c>
      <c r="K207" s="5" cm="1">
        <f t="array" ref="K207">IFERROR(AVERAGE(IF((OutputTable[GroupByKey]=OutputTable[[#This Row],[GroupByKey]]),(OutputTable[GroupByKey]=OutputTable[[#This Row],[GroupByKey]])*OutputTable[RecordedValue])),0)</f>
        <v>679.23333333333335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24.567547045158822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9.1736728317556295</v>
      </c>
      <c r="O207" s="5" cm="1">
        <f t="array" ref="O207">MIN(IF((OutputTable[GroupByKey]=OutputTable[[#This Row],[GroupByKey]]),(OutputTable[GroupByKey]=OutputTable[[#This Row],[GroupByKey]])*OutputTable[RecordedValue]))</f>
        <v>632</v>
      </c>
      <c r="P207" s="5" cm="1">
        <f t="array" ref="P207">MAX(IF((OutputTable[GroupByKey]=OutputTable[[#This Row],[GroupByKey]]),(OutputTable[GroupByKey]=OutputTable[[#This Row],[GroupByKey]])*OutputTable[RecordedValue]))</f>
        <v>729</v>
      </c>
    </row>
    <row r="208" spans="1:16">
      <c r="A208" t="s">
        <v>67</v>
      </c>
      <c r="B208" t="s">
        <v>70</v>
      </c>
      <c r="C208">
        <v>30</v>
      </c>
      <c r="D208" t="s">
        <v>106</v>
      </c>
      <c r="E208" t="s">
        <v>107</v>
      </c>
      <c r="F208" t="s">
        <v>92</v>
      </c>
      <c r="G208">
        <v>679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ProjectrCajero.NumberSeizedTotal Number SeizedResource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30</v>
      </c>
      <c r="K208" s="5" cm="1">
        <f t="array" ref="K208">IFERROR(AVERAGE(IF((OutputTable[GroupByKey]=OutputTable[[#This Row],[GroupByKey]]),(OutputTable[GroupByKey]=OutputTable[[#This Row],[GroupByKey]])*OutputTable[RecordedValue])),0)</f>
        <v>682.33333333333337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24.270506201238735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9.062755957768065</v>
      </c>
      <c r="O208" s="5" cm="1">
        <f t="array" ref="O208">MIN(IF((OutputTable[GroupByKey]=OutputTable[[#This Row],[GroupByKey]]),(OutputTable[GroupByKey]=OutputTable[[#This Row],[GroupByKey]])*OutputTable[RecordedValue]))</f>
        <v>636</v>
      </c>
      <c r="P208" s="5" cm="1">
        <f t="array" ref="P208">MAX(IF((OutputTable[GroupByKey]=OutputTable[[#This Row],[GroupByKey]]),(OutputTable[GroupByKey]=OutputTable[[#This Row],[GroupByKey]])*OutputTable[RecordedValue]))</f>
        <v>733</v>
      </c>
    </row>
    <row r="209" spans="1:16">
      <c r="A209" t="s">
        <v>67</v>
      </c>
      <c r="B209" t="s">
        <v>70</v>
      </c>
      <c r="C209">
        <v>30</v>
      </c>
      <c r="D209" t="s">
        <v>108</v>
      </c>
      <c r="E209" t="s">
        <v>109</v>
      </c>
      <c r="F209" t="s">
        <v>92</v>
      </c>
      <c r="G209">
        <v>0.84529018536164602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ProjectrCajero.ScheduledUtilizationScheduled UtilizationResource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30</v>
      </c>
      <c r="K209" s="5" cm="1">
        <f t="array" ref="K209">IFERROR(AVERAGE(IF((OutputTable[GroupByKey]=OutputTable[[#This Row],[GroupByKey]]),(OutputTable[GroupByKey]=OutputTable[[#This Row],[GroupByKey]])*OutputTable[RecordedValue])),0)</f>
        <v>0.85304256406630496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2.975273171257193E-2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1.1109852606791693E-2</v>
      </c>
      <c r="O209" s="5" cm="1">
        <f t="array" ref="O209">MIN(IF((OutputTable[GroupByKey]=OutputTable[[#This Row],[GroupByKey]]),(OutputTable[GroupByKey]=OutputTable[[#This Row],[GroupByKey]])*OutputTable[RecordedValue]))</f>
        <v>0.79563957753275305</v>
      </c>
      <c r="P209" s="5" cm="1">
        <f t="array" ref="P209">MAX(IF((OutputTable[GroupByKey]=OutputTable[[#This Row],[GroupByKey]]),(OutputTable[GroupByKey]=OutputTable[[#This Row],[GroupByKey]])*OutputTable[RecordedValue]))</f>
        <v>0.91388224334429202</v>
      </c>
    </row>
    <row r="210" spans="1:16">
      <c r="A210" t="s">
        <v>67</v>
      </c>
      <c r="B210" t="s">
        <v>70</v>
      </c>
      <c r="C210">
        <v>30</v>
      </c>
      <c r="D210" t="s">
        <v>110</v>
      </c>
      <c r="E210" t="s">
        <v>107</v>
      </c>
      <c r="F210" t="s">
        <v>92</v>
      </c>
      <c r="G210">
        <v>677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Projectrchef.NumberSeizedTotal Number SeizedResource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30</v>
      </c>
      <c r="K210" s="5" cm="1">
        <f t="array" ref="K210">IFERROR(AVERAGE(IF((OutputTable[GroupByKey]=OutputTable[[#This Row],[GroupByKey]]),(OutputTable[GroupByKey]=OutputTable[[#This Row],[GroupByKey]])*OutputTable[RecordedValue])),0)</f>
        <v>680.6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24.37296410595857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9.1010143681498281</v>
      </c>
      <c r="O210" s="5" cm="1">
        <f t="array" ref="O210">MIN(IF((OutputTable[GroupByKey]=OutputTable[[#This Row],[GroupByKey]]),(OutputTable[GroupByKey]=OutputTable[[#This Row],[GroupByKey]])*OutputTable[RecordedValue]))</f>
        <v>634</v>
      </c>
      <c r="P210" s="5" cm="1">
        <f t="array" ref="P210">MAX(IF((OutputTable[GroupByKey]=OutputTable[[#This Row],[GroupByKey]]),(OutputTable[GroupByKey]=OutputTable[[#This Row],[GroupByKey]])*OutputTable[RecordedValue]))</f>
        <v>731</v>
      </c>
    </row>
    <row r="211" spans="1:16">
      <c r="A211" t="s">
        <v>67</v>
      </c>
      <c r="B211" t="s">
        <v>70</v>
      </c>
      <c r="C211">
        <v>30</v>
      </c>
      <c r="D211" t="s">
        <v>111</v>
      </c>
      <c r="E211" t="s">
        <v>109</v>
      </c>
      <c r="F211" t="s">
        <v>92</v>
      </c>
      <c r="G211">
        <v>0.69534461809250703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Projectrchef.ScheduledUtilizationScheduled UtilizationResource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30</v>
      </c>
      <c r="K211" s="5" cm="1">
        <f t="array" ref="K211">IFERROR(AVERAGE(IF((OutputTable[GroupByKey]=OutputTable[[#This Row],[GroupByKey]]),(OutputTable[GroupByKey]=OutputTable[[#This Row],[GroupByKey]])*OutputTable[RecordedValue])),0)</f>
        <v>0.6819541161040038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2.5427627669908321E-2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9.4948322151438332E-3</v>
      </c>
      <c r="O211" s="5" cm="1">
        <f t="array" ref="O211">MIN(IF((OutputTable[GroupByKey]=OutputTable[[#This Row],[GroupByKey]]),(OutputTable[GroupByKey]=OutputTable[[#This Row],[GroupByKey]])*OutputTable[RecordedValue]))</f>
        <v>0.62568527922134098</v>
      </c>
      <c r="P211" s="5" cm="1">
        <f t="array" ref="P211">MAX(IF((OutputTable[GroupByKey]=OutputTable[[#This Row],[GroupByKey]]),(OutputTable[GroupByKey]=OutputTable[[#This Row],[GroupByKey]])*OutputTable[RecordedValue]))</f>
        <v>0.72090720879040104</v>
      </c>
    </row>
  </sheetData>
  <phoneticPr fontId="2" type="noConversion"/>
  <conditionalFormatting sqref="I2:P211">
    <cfRule type="expression" dxfId="3" priority="2">
      <formula>MOD(ROW(),2)=0</formula>
    </cfRule>
  </conditionalFormatting>
  <conditionalFormatting sqref="N2:N21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>
      <c r="B17" s="3"/>
    </row>
    <row r="18" spans="2:2">
      <c r="B18" s="3"/>
    </row>
    <row r="19" spans="2:2">
      <c r="B19" s="3"/>
    </row>
    <row r="20" spans="2:2">
      <c r="B20" s="3"/>
    </row>
    <row r="21" spans="2:2">
      <c r="B21" s="3"/>
    </row>
    <row r="22" spans="2:2">
      <c r="B22" s="3"/>
    </row>
    <row r="23" spans="2:2">
      <c r="B23" s="3"/>
    </row>
    <row r="24" spans="2:2">
      <c r="B24" s="3"/>
    </row>
    <row r="25" spans="2:2">
      <c r="B25" s="3"/>
    </row>
    <row r="26" spans="2:2">
      <c r="B26" s="3"/>
    </row>
    <row r="27" spans="2:2">
      <c r="B27" s="3"/>
    </row>
    <row r="28" spans="2:2">
      <c r="B28" s="3"/>
    </row>
    <row r="29" spans="2:2">
      <c r="B29" s="3"/>
    </row>
    <row r="30" spans="2:2">
      <c r="B30" s="3"/>
    </row>
    <row r="31" spans="2:2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Nestor Andres Tabares David</cp:lastModifiedBy>
  <cp:lastPrinted>2022-03-22T10:33:10Z</cp:lastPrinted>
  <dcterms:created xsi:type="dcterms:W3CDTF">2020-06-29T21:30:31Z</dcterms:created>
  <dcterms:modified xsi:type="dcterms:W3CDTF">2025-05-22T06:30:57Z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
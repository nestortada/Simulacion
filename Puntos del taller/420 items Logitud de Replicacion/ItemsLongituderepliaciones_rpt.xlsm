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20 items Logitud de Replicacion/"/>
    </mc:Choice>
  </mc:AlternateContent>
  <xr:revisionPtr revIDLastSave="33" documentId="13_ncr:1_{325E12FA-5483-41CA-B36F-0BB911A2EF96}" xr6:coauthVersionLast="47" xr6:coauthVersionMax="47" xr10:uidLastSave="{3D98A2DD-E273-4E7A-BAD0-6E712182409D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ContinuousTimeStatsByRep!$A$1:$L$131</definedName>
    <definedName name="ExternalData_1" localSheetId="4" hidden="1">CounterStatsByRep!$A$1:$G$2</definedName>
    <definedName name="ExternalData_1" localSheetId="2" hidden="1">DiscreteTimeStatsByRep!$A$1:$K$118</definedName>
    <definedName name="ExternalData_1" localSheetId="6" hidden="1">FrequencyStatsByRep!$A$1:$K$2</definedName>
    <definedName name="ExternalData_1" localSheetId="5" hidden="1">OutputStatsByRep!$A$1:$H$92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M2" i="20" a="1"/>
  <c r="M2" i="20" s="1"/>
  <c r="N2" i="20" s="1"/>
  <c r="M3" i="20" a="1"/>
  <c r="M3" i="20" s="1"/>
  <c r="N3" i="20" s="1"/>
  <c r="M4" i="20" a="1"/>
  <c r="M4" i="20" s="1"/>
  <c r="N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N8" i="20" s="1"/>
  <c r="M9" i="20" a="1"/>
  <c r="M9" i="20" s="1"/>
  <c r="N9" i="20" s="1"/>
  <c r="M10" i="20" a="1"/>
  <c r="M10" i="20" s="1"/>
  <c r="N10" i="20" s="1"/>
  <c r="M11" i="20" a="1"/>
  <c r="M11" i="20" s="1"/>
  <c r="N11" i="20" s="1"/>
  <c r="M12" i="20" a="1"/>
  <c r="M12" i="20" s="1"/>
  <c r="N12" i="20" s="1"/>
  <c r="M13" i="20" a="1"/>
  <c r="M13" i="20" s="1"/>
  <c r="N13" i="20" s="1"/>
  <c r="M14" i="20" a="1"/>
  <c r="M14" i="20" s="1"/>
  <c r="N14" i="20" s="1"/>
  <c r="M15" i="20" a="1"/>
  <c r="M15" i="20" s="1"/>
  <c r="N15" i="20" s="1"/>
  <c r="M16" i="20" a="1"/>
  <c r="M16" i="20" s="1"/>
  <c r="N16" i="20" s="1"/>
  <c r="M17" i="20" a="1"/>
  <c r="M17" i="20" s="1"/>
  <c r="N17" i="20" s="1"/>
  <c r="M18" i="20" a="1"/>
  <c r="M18" i="20" s="1"/>
  <c r="N18" i="20" s="1"/>
  <c r="M19" i="20" a="1"/>
  <c r="M19" i="20" s="1"/>
  <c r="N19" i="20" s="1"/>
  <c r="M20" i="20" a="1"/>
  <c r="M20" i="20" s="1"/>
  <c r="N20" i="20" s="1"/>
  <c r="M21" i="20" a="1"/>
  <c r="M21" i="20" s="1"/>
  <c r="N21" i="20" s="1"/>
  <c r="M22" i="20" a="1"/>
  <c r="M22" i="20" s="1"/>
  <c r="N22" i="20" s="1"/>
  <c r="M23" i="20" a="1"/>
  <c r="M23" i="20" s="1"/>
  <c r="N23" i="20" s="1"/>
  <c r="M24" i="20" a="1"/>
  <c r="M24" i="20" s="1"/>
  <c r="N24" i="20" s="1"/>
  <c r="M25" i="20" a="1"/>
  <c r="M25" i="20" s="1"/>
  <c r="N25" i="20" s="1"/>
  <c r="M26" i="20" a="1"/>
  <c r="M26" i="20" s="1"/>
  <c r="N26" i="20" s="1"/>
  <c r="M27" i="20" a="1"/>
  <c r="M27" i="20" s="1"/>
  <c r="N27" i="20" s="1"/>
  <c r="M28" i="20" a="1"/>
  <c r="M28" i="20" s="1"/>
  <c r="N28" i="20" s="1"/>
  <c r="M29" i="20" a="1"/>
  <c r="M29" i="20" s="1"/>
  <c r="N29" i="20" s="1"/>
  <c r="M30" i="20" a="1"/>
  <c r="M30" i="20" s="1"/>
  <c r="N30" i="20" s="1"/>
  <c r="M31" i="20" a="1"/>
  <c r="M31" i="20" s="1"/>
  <c r="N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N35" i="20" s="1"/>
  <c r="M36" i="20" a="1"/>
  <c r="M36" i="20" s="1"/>
  <c r="N36" i="20" s="1"/>
  <c r="M37" i="20" a="1"/>
  <c r="M37" i="20" s="1"/>
  <c r="N37" i="20" s="1"/>
  <c r="M38" i="20" a="1"/>
  <c r="M38" i="20" s="1"/>
  <c r="N38" i="20" s="1"/>
  <c r="M39" i="20" a="1"/>
  <c r="M39" i="20" s="1"/>
  <c r="N39" i="20" s="1"/>
  <c r="M40" i="20" a="1"/>
  <c r="M40" i="20" s="1"/>
  <c r="N40" i="20" s="1"/>
  <c r="M41" i="20" a="1"/>
  <c r="M41" i="20" s="1"/>
  <c r="N41" i="20" s="1"/>
  <c r="M42" i="20" a="1"/>
  <c r="M42" i="20" s="1"/>
  <c r="N42" i="20" s="1"/>
  <c r="M43" i="20" a="1"/>
  <c r="M43" i="20" s="1"/>
  <c r="N43" i="20" s="1"/>
  <c r="M44" i="20" a="1"/>
  <c r="M44" i="20" s="1"/>
  <c r="N44" i="20" s="1"/>
  <c r="M45" i="20" a="1"/>
  <c r="M45" i="20" s="1"/>
  <c r="N45" i="20" s="1"/>
  <c r="M46" i="20" a="1"/>
  <c r="M46" i="20" s="1"/>
  <c r="N46" i="20" s="1"/>
  <c r="M47" i="20" a="1"/>
  <c r="M47" i="20" s="1"/>
  <c r="N47" i="20" s="1"/>
  <c r="M48" i="20" a="1"/>
  <c r="M48" i="20" s="1"/>
  <c r="N48" i="20" s="1"/>
  <c r="M49" i="20" a="1"/>
  <c r="M49" i="20" s="1"/>
  <c r="N49" i="20" s="1"/>
  <c r="M50" i="20" a="1"/>
  <c r="M50" i="20" s="1"/>
  <c r="N50" i="20" s="1"/>
  <c r="M51" i="20" a="1"/>
  <c r="M51" i="20" s="1"/>
  <c r="N51" i="20" s="1"/>
  <c r="M52" i="20" a="1"/>
  <c r="M52" i="20" s="1"/>
  <c r="N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 s="1"/>
  <c r="N56" i="20" s="1"/>
  <c r="M57" i="20" a="1"/>
  <c r="M57" i="20" s="1"/>
  <c r="N57" i="20" s="1"/>
  <c r="M58" i="20" a="1"/>
  <c r="M58" i="20" s="1"/>
  <c r="N58" i="20" s="1"/>
  <c r="M59" i="20" a="1"/>
  <c r="M59" i="20" s="1"/>
  <c r="N59" i="20" s="1"/>
  <c r="M60" i="20" a="1"/>
  <c r="M60" i="20" s="1"/>
  <c r="N60" i="20" s="1"/>
  <c r="M61" i="20" a="1"/>
  <c r="M61" i="20" s="1"/>
  <c r="N61" i="20" s="1"/>
  <c r="M62" i="20" a="1"/>
  <c r="M62" i="20" s="1"/>
  <c r="N62" i="20" s="1"/>
  <c r="M63" i="20" a="1"/>
  <c r="M63" i="20" s="1"/>
  <c r="N63" i="20" s="1"/>
  <c r="M64" i="20" a="1"/>
  <c r="M64" i="20" s="1"/>
  <c r="N64" i="20" s="1"/>
  <c r="M65" i="20" a="1"/>
  <c r="M65" i="20" s="1"/>
  <c r="N65" i="20" s="1"/>
  <c r="M66" i="20" a="1"/>
  <c r="M66" i="20" s="1"/>
  <c r="N66" i="20" s="1"/>
  <c r="M67" i="20" a="1"/>
  <c r="M67" i="20" s="1"/>
  <c r="N67" i="20" s="1"/>
  <c r="M68" i="20" a="1"/>
  <c r="M68" i="20" s="1"/>
  <c r="N68" i="20" s="1"/>
  <c r="M69" i="20" a="1"/>
  <c r="M69" i="20" s="1"/>
  <c r="N69" i="20" s="1"/>
  <c r="M70" i="20" a="1"/>
  <c r="M70" i="20" s="1"/>
  <c r="N70" i="20" s="1"/>
  <c r="M71" i="20" a="1"/>
  <c r="M71" i="20" s="1"/>
  <c r="N71" i="20" s="1"/>
  <c r="M72" i="20" a="1"/>
  <c r="M72" i="20" s="1"/>
  <c r="N72" i="20" s="1"/>
  <c r="M73" i="20" a="1"/>
  <c r="M73" i="20" s="1"/>
  <c r="N73" i="20" s="1"/>
  <c r="M74" i="20" a="1"/>
  <c r="M74" i="20" s="1"/>
  <c r="N74" i="20" s="1"/>
  <c r="M75" i="20" a="1"/>
  <c r="M75" i="20" s="1"/>
  <c r="N75" i="20" s="1"/>
  <c r="M76" i="20" a="1"/>
  <c r="M76" i="20" s="1"/>
  <c r="N76" i="20" s="1"/>
  <c r="M77" i="20" a="1"/>
  <c r="M77" i="20" s="1"/>
  <c r="N77" i="20" s="1"/>
  <c r="M78" i="20" a="1"/>
  <c r="M78" i="20" s="1"/>
  <c r="N78" i="20" s="1"/>
  <c r="M79" i="20" a="1"/>
  <c r="M79" i="20" s="1"/>
  <c r="N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 s="1"/>
  <c r="N83" i="20" s="1"/>
  <c r="M84" i="20" a="1"/>
  <c r="M84" i="20" s="1"/>
  <c r="N84" i="20" s="1"/>
  <c r="M85" i="20" a="1"/>
  <c r="M85" i="20" s="1"/>
  <c r="N85" i="20" s="1"/>
  <c r="M86" i="20" a="1"/>
  <c r="M86" i="20" s="1"/>
  <c r="N86" i="20" s="1"/>
  <c r="M87" i="20" a="1"/>
  <c r="M87" i="20" s="1"/>
  <c r="N87" i="20" s="1"/>
  <c r="M88" i="20" a="1"/>
  <c r="M88" i="20" s="1"/>
  <c r="N88" i="20" s="1"/>
  <c r="M89" i="20" a="1"/>
  <c r="M89" i="20" s="1"/>
  <c r="N89" i="20" s="1"/>
  <c r="M90" i="20" a="1"/>
  <c r="M90" i="20" s="1"/>
  <c r="N90" i="20" s="1"/>
  <c r="M91" i="20" a="1"/>
  <c r="M91" i="20" s="1"/>
  <c r="N91" i="20" s="1"/>
  <c r="M92" i="20" a="1"/>
  <c r="M92" i="20" s="1"/>
  <c r="N92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/>
  <c r="P26" i="20" a="1"/>
  <c r="P26" i="20" s="1"/>
  <c r="P27" i="20" a="1"/>
  <c r="P27" i="20" s="1"/>
  <c r="P28" i="20" a="1"/>
  <c r="P28" i="20" s="1"/>
  <c r="P29" i="20" a="1"/>
  <c r="P29" i="20"/>
  <c r="P30" i="20" a="1"/>
  <c r="P30" i="20" s="1"/>
  <c r="P31" i="20" a="1"/>
  <c r="P31" i="20" s="1"/>
  <c r="P32" i="20" a="1"/>
  <c r="P32" i="20" s="1"/>
  <c r="P33" i="20" a="1"/>
  <c r="P33" i="20"/>
  <c r="P34" i="20" a="1"/>
  <c r="P34" i="20" s="1"/>
  <c r="P35" i="20" a="1"/>
  <c r="P35" i="20" s="1"/>
  <c r="P36" i="20" a="1"/>
  <c r="P36" i="20" s="1"/>
  <c r="P37" i="20" a="1"/>
  <c r="P37" i="20"/>
  <c r="P38" i="20" a="1"/>
  <c r="P38" i="20" s="1"/>
  <c r="P39" i="20" a="1"/>
  <c r="P39" i="20" s="1"/>
  <c r="P40" i="20" a="1"/>
  <c r="P40" i="20" s="1"/>
  <c r="P41" i="20" a="1"/>
  <c r="P41" i="20"/>
  <c r="P42" i="20" a="1"/>
  <c r="P42" i="20" s="1"/>
  <c r="P43" i="20" a="1"/>
  <c r="P43" i="20" s="1"/>
  <c r="P44" i="20" a="1"/>
  <c r="P44" i="20" s="1"/>
  <c r="P45" i="20" a="1"/>
  <c r="P45" i="20"/>
  <c r="P46" i="20" a="1"/>
  <c r="P46" i="20" s="1"/>
  <c r="P47" i="20" a="1"/>
  <c r="P47" i="20" s="1"/>
  <c r="P48" i="20" a="1"/>
  <c r="P48" i="20" s="1"/>
  <c r="P49" i="20" a="1"/>
  <c r="P49" i="20"/>
  <c r="P50" i="20" a="1"/>
  <c r="P50" i="20" s="1"/>
  <c r="P51" i="20" a="1"/>
  <c r="P51" i="20" s="1"/>
  <c r="P52" i="20" a="1"/>
  <c r="P52" i="20" s="1"/>
  <c r="P53" i="20" a="1"/>
  <c r="P53" i="20"/>
  <c r="P54" i="20" a="1"/>
  <c r="P54" i="20" s="1"/>
  <c r="P55" i="20" a="1"/>
  <c r="P55" i="20" s="1"/>
  <c r="P56" i="20" a="1"/>
  <c r="P56" i="20" s="1"/>
  <c r="P57" i="20" a="1"/>
  <c r="P57" i="20"/>
  <c r="P58" i="20" a="1"/>
  <c r="P58" i="20" s="1"/>
  <c r="P59" i="20" a="1"/>
  <c r="P59" i="20" s="1"/>
  <c r="P60" i="20" a="1"/>
  <c r="P60" i="20" s="1"/>
  <c r="P61" i="20" a="1"/>
  <c r="P61" i="20"/>
  <c r="P62" i="20" a="1"/>
  <c r="P62" i="20" s="1"/>
  <c r="P63" i="20" a="1"/>
  <c r="P63" i="20" s="1"/>
  <c r="P64" i="20" a="1"/>
  <c r="P64" i="20" s="1"/>
  <c r="P65" i="20" a="1"/>
  <c r="P65" i="20"/>
  <c r="P66" i="20" a="1"/>
  <c r="P66" i="20" s="1"/>
  <c r="P67" i="20" a="1"/>
  <c r="P67" i="20" s="1"/>
  <c r="P68" i="20" a="1"/>
  <c r="P68" i="20" s="1"/>
  <c r="P69" i="20" a="1"/>
  <c r="P69" i="20"/>
  <c r="P70" i="20" a="1"/>
  <c r="P70" i="20" s="1"/>
  <c r="P71" i="20" a="1"/>
  <c r="P71" i="20" s="1"/>
  <c r="P72" i="20" a="1"/>
  <c r="P72" i="20" s="1"/>
  <c r="P73" i="20" a="1"/>
  <c r="P73" i="20"/>
  <c r="P74" i="20" a="1"/>
  <c r="P74" i="20" s="1"/>
  <c r="P75" i="20" a="1"/>
  <c r="P75" i="20" s="1"/>
  <c r="P76" i="20" a="1"/>
  <c r="P76" i="20" s="1"/>
  <c r="P77" i="20" a="1"/>
  <c r="P77" i="20"/>
  <c r="P78" i="20" a="1"/>
  <c r="P78" i="20" s="1"/>
  <c r="P79" i="20" a="1"/>
  <c r="P79" i="20" s="1"/>
  <c r="P80" i="20" a="1"/>
  <c r="P80" i="20" s="1"/>
  <c r="P81" i="20" a="1"/>
  <c r="P81" i="20"/>
  <c r="P82" i="20" a="1"/>
  <c r="P82" i="20" s="1"/>
  <c r="P83" i="20" a="1"/>
  <c r="P83" i="20" s="1"/>
  <c r="P84" i="20" a="1"/>
  <c r="P84" i="20" s="1"/>
  <c r="P85" i="20" a="1"/>
  <c r="P85" i="20"/>
  <c r="P86" i="20" a="1"/>
  <c r="P86" i="20" s="1"/>
  <c r="P87" i="20" a="1"/>
  <c r="P87" i="20" s="1"/>
  <c r="P88" i="20" a="1"/>
  <c r="P88" i="20" s="1"/>
  <c r="P89" i="20" a="1"/>
  <c r="P89" i="20"/>
  <c r="P90" i="20" a="1"/>
  <c r="P90" i="20" s="1"/>
  <c r="P91" i="20" a="1"/>
  <c r="P91" i="20" s="1"/>
  <c r="P92" i="20" a="1"/>
  <c r="P92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/>
  <c r="N32" i="18" a="1"/>
  <c r="N32" i="18" s="1"/>
  <c r="N33" i="18" a="1"/>
  <c r="N33" i="18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/>
  <c r="N64" i="18" a="1"/>
  <c r="N64" i="18" s="1"/>
  <c r="N65" i="18" a="1"/>
  <c r="N65" i="18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/>
  <c r="N128" i="18" a="1"/>
  <c r="N128" i="18" s="1"/>
  <c r="N129" i="18" a="1"/>
  <c r="N129" i="18"/>
  <c r="N130" i="18" a="1"/>
  <c r="N130" i="18" s="1"/>
  <c r="N131" i="18" a="1"/>
  <c r="N13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R22" i="18" s="1"/>
  <c r="U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R62" i="18" s="1"/>
  <c r="U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R102" i="18" s="1"/>
  <c r="U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Q2" i="18" a="1"/>
  <c r="Q2" i="18"/>
  <c r="Q3" i="18" a="1"/>
  <c r="Q3" i="18" s="1"/>
  <c r="Q4" i="18" a="1"/>
  <c r="Q4" i="18" s="1"/>
  <c r="Q5" i="18" a="1"/>
  <c r="Q5" i="18" s="1"/>
  <c r="Q6" i="18" a="1"/>
  <c r="Q6" i="18"/>
  <c r="Q7" i="18" a="1"/>
  <c r="Q7" i="18" s="1"/>
  <c r="Q8" i="18" a="1"/>
  <c r="Q8" i="18" s="1"/>
  <c r="R8" i="18" s="1"/>
  <c r="Q9" i="18" a="1"/>
  <c r="Q9" i="18" s="1"/>
  <c r="Q10" i="18" a="1"/>
  <c r="Q10" i="18" s="1"/>
  <c r="Q11" i="18" a="1"/>
  <c r="Q11" i="18" s="1"/>
  <c r="Q12" i="18" a="1"/>
  <c r="Q12" i="18"/>
  <c r="Q13" i="18" a="1"/>
  <c r="Q13" i="18" s="1"/>
  <c r="Q14" i="18" a="1"/>
  <c r="Q14" i="18"/>
  <c r="Q15" i="18" a="1"/>
  <c r="Q15" i="18" s="1"/>
  <c r="Q16" i="18" a="1"/>
  <c r="Q16" i="18" s="1"/>
  <c r="R16" i="18" s="1"/>
  <c r="Q17" i="18" a="1"/>
  <c r="Q17" i="18" s="1"/>
  <c r="Q18" i="18" a="1"/>
  <c r="Q18" i="18"/>
  <c r="Q19" i="18" a="1"/>
  <c r="Q19" i="18" s="1"/>
  <c r="Q20" i="18" a="1"/>
  <c r="Q20" i="18"/>
  <c r="Q21" i="18" a="1"/>
  <c r="Q21" i="18" s="1"/>
  <c r="Q22" i="18" a="1"/>
  <c r="Q22" i="18"/>
  <c r="Q23" i="18" a="1"/>
  <c r="Q23" i="18" s="1"/>
  <c r="Q24" i="18" a="1"/>
  <c r="Q24" i="18" s="1"/>
  <c r="R24" i="18" s="1"/>
  <c r="Q25" i="18" a="1"/>
  <c r="Q25" i="18" s="1"/>
  <c r="Q26" i="18" a="1"/>
  <c r="Q26" i="18"/>
  <c r="Q27" i="18" a="1"/>
  <c r="Q27" i="18" s="1"/>
  <c r="Q28" i="18" a="1"/>
  <c r="Q28" i="18"/>
  <c r="Q29" i="18" a="1"/>
  <c r="Q29" i="18" s="1"/>
  <c r="Q30" i="18" a="1"/>
  <c r="Q30" i="18" s="1"/>
  <c r="R30" i="18" s="1"/>
  <c r="U30" i="18" s="1"/>
  <c r="Q31" i="18" a="1"/>
  <c r="Q31" i="18" s="1"/>
  <c r="Q32" i="18" a="1"/>
  <c r="Q32" i="18" s="1"/>
  <c r="R32" i="18" s="1"/>
  <c r="Q33" i="18" a="1"/>
  <c r="Q33" i="18" s="1"/>
  <c r="Q34" i="18" a="1"/>
  <c r="Q34" i="18"/>
  <c r="Q35" i="18" a="1"/>
  <c r="Q35" i="18" s="1"/>
  <c r="Q36" i="18" a="1"/>
  <c r="Q36" i="18" s="1"/>
  <c r="Q37" i="18" a="1"/>
  <c r="Q37" i="18" s="1"/>
  <c r="Q38" i="18" a="1"/>
  <c r="Q38" i="18"/>
  <c r="Q39" i="18" a="1"/>
  <c r="Q39" i="18" s="1"/>
  <c r="Q40" i="18" a="1"/>
  <c r="Q40" i="18" s="1"/>
  <c r="R40" i="18" s="1"/>
  <c r="Q41" i="18" a="1"/>
  <c r="Q41" i="18" s="1"/>
  <c r="Q42" i="18" a="1"/>
  <c r="Q42" i="18" s="1"/>
  <c r="Q43" i="18" a="1"/>
  <c r="Q43" i="18" s="1"/>
  <c r="Q44" i="18" a="1"/>
  <c r="Q44" i="18"/>
  <c r="Q45" i="18" a="1"/>
  <c r="Q45" i="18" s="1"/>
  <c r="Q46" i="18" a="1"/>
  <c r="Q46" i="18"/>
  <c r="Q47" i="18" a="1"/>
  <c r="Q47" i="18" s="1"/>
  <c r="Q48" i="18" a="1"/>
  <c r="Q48" i="18" s="1"/>
  <c r="R48" i="18" s="1"/>
  <c r="Q49" i="18" a="1"/>
  <c r="Q49" i="18" s="1"/>
  <c r="Q50" i="18" a="1"/>
  <c r="Q50" i="18"/>
  <c r="Q51" i="18" a="1"/>
  <c r="Q51" i="18" s="1"/>
  <c r="Q52" i="18" a="1"/>
  <c r="Q52" i="18"/>
  <c r="Q53" i="18" a="1"/>
  <c r="Q53" i="18" s="1"/>
  <c r="Q54" i="18" a="1"/>
  <c r="Q54" i="18"/>
  <c r="Q55" i="18" a="1"/>
  <c r="Q55" i="18" s="1"/>
  <c r="Q56" i="18" a="1"/>
  <c r="Q56" i="18" s="1"/>
  <c r="R56" i="18" s="1"/>
  <c r="Q57" i="18" a="1"/>
  <c r="Q57" i="18" s="1"/>
  <c r="Q58" i="18" a="1"/>
  <c r="Q58" i="18"/>
  <c r="Q59" i="18" a="1"/>
  <c r="Q59" i="18" s="1"/>
  <c r="Q60" i="18" a="1"/>
  <c r="Q60" i="18" s="1"/>
  <c r="R60" i="18" s="1"/>
  <c r="Q61" i="18" a="1"/>
  <c r="Q61" i="18" s="1"/>
  <c r="Q62" i="18" a="1"/>
  <c r="Q62" i="18"/>
  <c r="Q63" i="18" a="1"/>
  <c r="Q63" i="18" s="1"/>
  <c r="Q64" i="18" a="1"/>
  <c r="Q64" i="18" s="1"/>
  <c r="R64" i="18" s="1"/>
  <c r="Q65" i="18" a="1"/>
  <c r="Q65" i="18" s="1"/>
  <c r="Q66" i="18" a="1"/>
  <c r="Q66" i="18" s="1"/>
  <c r="Q67" i="18" a="1"/>
  <c r="Q67" i="18" s="1"/>
  <c r="Q68" i="18" a="1"/>
  <c r="Q68" i="18"/>
  <c r="Q69" i="18" a="1"/>
  <c r="Q69" i="18" s="1"/>
  <c r="Q70" i="18" a="1"/>
  <c r="Q70" i="18"/>
  <c r="Q71" i="18" a="1"/>
  <c r="Q71" i="18" s="1"/>
  <c r="Q72" i="18" a="1"/>
  <c r="Q72" i="18" s="1"/>
  <c r="R72" i="18" s="1"/>
  <c r="Q73" i="18" a="1"/>
  <c r="Q73" i="18" s="1"/>
  <c r="Q74" i="18" a="1"/>
  <c r="Q74" i="18"/>
  <c r="Q75" i="18" a="1"/>
  <c r="Q75" i="18" s="1"/>
  <c r="Q76" i="18" a="1"/>
  <c r="Q76" i="18"/>
  <c r="Q77" i="18" a="1"/>
  <c r="Q77" i="18" s="1"/>
  <c r="Q78" i="18" a="1"/>
  <c r="Q78" i="18"/>
  <c r="Q79" i="18" a="1"/>
  <c r="Q79" i="18" s="1"/>
  <c r="Q80" i="18" a="1"/>
  <c r="Q80" i="18" s="1"/>
  <c r="R80" i="18" s="1"/>
  <c r="Q81" i="18" a="1"/>
  <c r="Q81" i="18"/>
  <c r="Q82" i="18" a="1"/>
  <c r="Q82" i="18" s="1"/>
  <c r="Q83" i="18" a="1"/>
  <c r="Q83" i="18" s="1"/>
  <c r="R83" i="18" s="1"/>
  <c r="Q84" i="18" a="1"/>
  <c r="Q84" i="18" s="1"/>
  <c r="R84" i="18" s="1"/>
  <c r="Q85" i="18" a="1"/>
  <c r="Q85" i="18" s="1"/>
  <c r="R85" i="18" s="1"/>
  <c r="U85" i="18" s="1"/>
  <c r="Q86" i="18" a="1"/>
  <c r="Q86" i="18" s="1"/>
  <c r="Q87" i="18" a="1"/>
  <c r="Q87" i="18" s="1"/>
  <c r="Q88" i="18" a="1"/>
  <c r="Q88" i="18" s="1"/>
  <c r="R88" i="18" s="1"/>
  <c r="Q89" i="18" a="1"/>
  <c r="Q89" i="18" s="1"/>
  <c r="R89" i="18" s="1"/>
  <c r="U89" i="18" s="1"/>
  <c r="Q90" i="18" a="1"/>
  <c r="Q90" i="18" s="1"/>
  <c r="Q91" i="18" a="1"/>
  <c r="Q91" i="18" s="1"/>
  <c r="R91" i="18" s="1"/>
  <c r="Q92" i="18" a="1"/>
  <c r="Q92" i="18" s="1"/>
  <c r="R92" i="18" s="1"/>
  <c r="Q93" i="18" a="1"/>
  <c r="Q93" i="18" s="1"/>
  <c r="R93" i="18" s="1"/>
  <c r="U93" i="18" s="1"/>
  <c r="Q94" i="18" a="1"/>
  <c r="Q94" i="18" s="1"/>
  <c r="Q95" i="18" a="1"/>
  <c r="Q95" i="18" s="1"/>
  <c r="R95" i="18" s="1"/>
  <c r="Q96" i="18" a="1"/>
  <c r="Q96" i="18" s="1"/>
  <c r="R96" i="18" s="1"/>
  <c r="Q97" i="18" a="1"/>
  <c r="Q97" i="18" s="1"/>
  <c r="R97" i="18" s="1"/>
  <c r="U97" i="18" s="1"/>
  <c r="Q98" i="18" a="1"/>
  <c r="Q98" i="18" s="1"/>
  <c r="Q99" i="18" a="1"/>
  <c r="Q99" i="18" s="1"/>
  <c r="R99" i="18" s="1"/>
  <c r="Q100" i="18" a="1"/>
  <c r="Q100" i="18" s="1"/>
  <c r="R100" i="18" s="1"/>
  <c r="Q101" i="18" a="1"/>
  <c r="Q101" i="18" s="1"/>
  <c r="R101" i="18" s="1"/>
  <c r="Q102" i="18" a="1"/>
  <c r="Q102" i="18" s="1"/>
  <c r="Q103" i="18" a="1"/>
  <c r="Q103" i="18" s="1"/>
  <c r="R103" i="18" s="1"/>
  <c r="Q104" i="18" a="1"/>
  <c r="Q104" i="18" s="1"/>
  <c r="R104" i="18" s="1"/>
  <c r="Q105" i="18" a="1"/>
  <c r="Q105" i="18" s="1"/>
  <c r="R105" i="18" s="1"/>
  <c r="Q106" i="18" a="1"/>
  <c r="Q106" i="18" s="1"/>
  <c r="Q107" i="18" a="1"/>
  <c r="Q107" i="18" s="1"/>
  <c r="R107" i="18" s="1"/>
  <c r="Q108" i="18" a="1"/>
  <c r="Q108" i="18" s="1"/>
  <c r="R108" i="18" s="1"/>
  <c r="Q109" i="18" a="1"/>
  <c r="Q109" i="18" s="1"/>
  <c r="R109" i="18" s="1"/>
  <c r="Q110" i="18" a="1"/>
  <c r="Q110" i="18" s="1"/>
  <c r="Q111" i="18" a="1"/>
  <c r="Q111" i="18" s="1"/>
  <c r="Q112" i="18" a="1"/>
  <c r="Q112" i="18" s="1"/>
  <c r="R112" i="18" s="1"/>
  <c r="Q113" i="18" a="1"/>
  <c r="Q113" i="18" s="1"/>
  <c r="R113" i="18" s="1"/>
  <c r="Q114" i="18" a="1"/>
  <c r="Q114" i="18" s="1"/>
  <c r="Q115" i="18" a="1"/>
  <c r="Q115" i="18" s="1"/>
  <c r="R115" i="18" s="1"/>
  <c r="Q116" i="18" a="1"/>
  <c r="Q116" i="18" s="1"/>
  <c r="R116" i="18" s="1"/>
  <c r="Q117" i="18" a="1"/>
  <c r="Q117" i="18" s="1"/>
  <c r="R117" i="18" s="1"/>
  <c r="Q118" i="18" a="1"/>
  <c r="Q118" i="18" s="1"/>
  <c r="Q119" i="18" a="1"/>
  <c r="Q119" i="18" s="1"/>
  <c r="R119" i="18" s="1"/>
  <c r="Q120" i="18" a="1"/>
  <c r="Q120" i="18" s="1"/>
  <c r="R120" i="18" s="1"/>
  <c r="Q121" i="18" a="1"/>
  <c r="Q121" i="18" s="1"/>
  <c r="R121" i="18" s="1"/>
  <c r="Q122" i="18" a="1"/>
  <c r="Q122" i="18" s="1"/>
  <c r="Q123" i="18" a="1"/>
  <c r="Q123" i="18" s="1"/>
  <c r="R123" i="18" s="1"/>
  <c r="Q124" i="18" a="1"/>
  <c r="Q124" i="18" s="1"/>
  <c r="R124" i="18" s="1"/>
  <c r="Q125" i="18" a="1"/>
  <c r="Q125" i="18" s="1"/>
  <c r="R125" i="18" s="1"/>
  <c r="Q126" i="18" a="1"/>
  <c r="Q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 s="1"/>
  <c r="Q131" i="18" a="1"/>
  <c r="Q131" i="18" s="1"/>
  <c r="R131" i="18" s="1"/>
  <c r="R7" i="18"/>
  <c r="R11" i="18"/>
  <c r="R13" i="18"/>
  <c r="R14" i="18"/>
  <c r="R17" i="18"/>
  <c r="R19" i="18"/>
  <c r="R21" i="18"/>
  <c r="R27" i="18"/>
  <c r="R29" i="18"/>
  <c r="R31" i="18"/>
  <c r="R33" i="18"/>
  <c r="R35" i="18"/>
  <c r="R37" i="18"/>
  <c r="R43" i="18"/>
  <c r="R45" i="18"/>
  <c r="R46" i="18"/>
  <c r="R47" i="18"/>
  <c r="R49" i="18"/>
  <c r="R51" i="18"/>
  <c r="R53" i="18"/>
  <c r="R54" i="18"/>
  <c r="R59" i="18"/>
  <c r="R61" i="18"/>
  <c r="R63" i="18"/>
  <c r="R65" i="18"/>
  <c r="R67" i="18"/>
  <c r="R69" i="18"/>
  <c r="R70" i="18"/>
  <c r="R75" i="18"/>
  <c r="R77" i="18"/>
  <c r="R78" i="18"/>
  <c r="R79" i="18"/>
  <c r="R81" i="18"/>
  <c r="R82" i="18"/>
  <c r="R86" i="18"/>
  <c r="R90" i="18"/>
  <c r="R94" i="18"/>
  <c r="R98" i="18"/>
  <c r="R106" i="18"/>
  <c r="R110" i="18"/>
  <c r="R114" i="18"/>
  <c r="R118" i="18"/>
  <c r="R122" i="18"/>
  <c r="R126" i="18"/>
  <c r="R130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/>
  <c r="S9" i="18" a="1"/>
  <c r="S9" i="18" s="1"/>
  <c r="S10" i="18" a="1"/>
  <c r="S10" i="18" s="1"/>
  <c r="S11" i="18" a="1"/>
  <c r="S11" i="18" s="1"/>
  <c r="S12" i="18" a="1"/>
  <c r="S12" i="18" s="1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/>
  <c r="S115" i="18" a="1"/>
  <c r="S115" i="18" s="1"/>
  <c r="S116" i="18" a="1"/>
  <c r="S116" i="18" s="1"/>
  <c r="S117" i="18" a="1"/>
  <c r="S117" i="18" s="1"/>
  <c r="S118" i="18" a="1"/>
  <c r="S118" i="18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T2" i="18" a="1"/>
  <c r="T2" i="18" s="1"/>
  <c r="T3" i="18" a="1"/>
  <c r="T3" i="18" s="1"/>
  <c r="T4" i="18" a="1"/>
  <c r="T4" i="18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/>
  <c r="T17" i="18" a="1"/>
  <c r="T17" i="18" s="1"/>
  <c r="T18" i="18" a="1"/>
  <c r="T18" i="18" s="1"/>
  <c r="T19" i="18" a="1"/>
  <c r="T19" i="18" s="1"/>
  <c r="T20" i="18" a="1"/>
  <c r="T20" i="18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/>
  <c r="T79" i="18" a="1"/>
  <c r="T79" i="18" s="1"/>
  <c r="T80" i="18" a="1"/>
  <c r="T80" i="18" s="1"/>
  <c r="T81" i="18" a="1"/>
  <c r="T81" i="18" s="1"/>
  <c r="T82" i="18" a="1"/>
  <c r="T82" i="18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/>
  <c r="T95" i="18" a="1"/>
  <c r="T95" i="18" s="1"/>
  <c r="T96" i="18" a="1"/>
  <c r="T96" i="18" s="1"/>
  <c r="T97" i="18" a="1"/>
  <c r="T97" i="18" s="1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/>
  <c r="T111" i="18" a="1"/>
  <c r="T111" i="18" s="1"/>
  <c r="T112" i="18" a="1"/>
  <c r="T112" i="18" s="1"/>
  <c r="T113" i="18" a="1"/>
  <c r="T113" i="18" s="1"/>
  <c r="T114" i="18" a="1"/>
  <c r="T114" i="18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/>
  <c r="T127" i="18" a="1"/>
  <c r="T127" i="18" s="1"/>
  <c r="T128" i="18" a="1"/>
  <c r="T128" i="18" s="1"/>
  <c r="T129" i="18" a="1"/>
  <c r="T129" i="18" s="1"/>
  <c r="T130" i="18" a="1"/>
  <c r="T130" i="18"/>
  <c r="T131" i="18" a="1"/>
  <c r="T131" i="18" s="1"/>
  <c r="U7" i="18"/>
  <c r="U8" i="18"/>
  <c r="U11" i="18"/>
  <c r="U13" i="18"/>
  <c r="U14" i="18"/>
  <c r="U16" i="18"/>
  <c r="U17" i="18"/>
  <c r="U19" i="18"/>
  <c r="U21" i="18"/>
  <c r="U24" i="18"/>
  <c r="U27" i="18"/>
  <c r="U29" i="18"/>
  <c r="U31" i="18"/>
  <c r="U32" i="18"/>
  <c r="U33" i="18"/>
  <c r="U35" i="18"/>
  <c r="U37" i="18"/>
  <c r="U40" i="18"/>
  <c r="U43" i="18"/>
  <c r="U45" i="18"/>
  <c r="U46" i="18"/>
  <c r="U47" i="18"/>
  <c r="U48" i="18"/>
  <c r="U49" i="18"/>
  <c r="U51" i="18"/>
  <c r="U53" i="18"/>
  <c r="U54" i="18"/>
  <c r="U56" i="18"/>
  <c r="U59" i="18"/>
  <c r="U60" i="18"/>
  <c r="U61" i="18"/>
  <c r="U63" i="18"/>
  <c r="U64" i="18"/>
  <c r="U65" i="18"/>
  <c r="U67" i="18"/>
  <c r="U69" i="18"/>
  <c r="U70" i="18"/>
  <c r="U72" i="18"/>
  <c r="U75" i="18"/>
  <c r="U77" i="18"/>
  <c r="U78" i="18"/>
  <c r="U79" i="18"/>
  <c r="U80" i="18"/>
  <c r="U81" i="18"/>
  <c r="U82" i="18"/>
  <c r="U83" i="18"/>
  <c r="U84" i="18"/>
  <c r="U86" i="18"/>
  <c r="U88" i="18"/>
  <c r="U90" i="18"/>
  <c r="U91" i="18"/>
  <c r="U92" i="18"/>
  <c r="U94" i="18"/>
  <c r="U95" i="18"/>
  <c r="U96" i="18"/>
  <c r="U98" i="18"/>
  <c r="U99" i="18"/>
  <c r="U100" i="18"/>
  <c r="U101" i="18"/>
  <c r="U103" i="18"/>
  <c r="U104" i="18"/>
  <c r="U105" i="18"/>
  <c r="U106" i="18"/>
  <c r="U107" i="18"/>
  <c r="U108" i="18"/>
  <c r="U109" i="18"/>
  <c r="U110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L2" i="17"/>
  <c r="L15" i="17"/>
  <c r="L16" i="17"/>
  <c r="L17" i="17"/>
  <c r="L18" i="17"/>
  <c r="L19" i="17"/>
  <c r="L20" i="17"/>
  <c r="L93" i="17"/>
  <c r="L106" i="17"/>
  <c r="L3" i="17"/>
  <c r="L21" i="17"/>
  <c r="L22" i="17"/>
  <c r="L23" i="17"/>
  <c r="L24" i="17"/>
  <c r="L25" i="17"/>
  <c r="L26" i="17"/>
  <c r="L94" i="17"/>
  <c r="L107" i="17"/>
  <c r="L4" i="17"/>
  <c r="L27" i="17"/>
  <c r="L28" i="17"/>
  <c r="L29" i="17"/>
  <c r="L30" i="17"/>
  <c r="L31" i="17"/>
  <c r="L32" i="17"/>
  <c r="L95" i="17"/>
  <c r="L108" i="17"/>
  <c r="L5" i="17"/>
  <c r="L33" i="17"/>
  <c r="L34" i="17"/>
  <c r="L35" i="17"/>
  <c r="L36" i="17"/>
  <c r="L37" i="17"/>
  <c r="L38" i="17"/>
  <c r="L96" i="17"/>
  <c r="L109" i="17"/>
  <c r="L6" i="17"/>
  <c r="L39" i="17"/>
  <c r="L40" i="17"/>
  <c r="L41" i="17"/>
  <c r="L42" i="17"/>
  <c r="L43" i="17"/>
  <c r="L44" i="17"/>
  <c r="L97" i="17"/>
  <c r="L110" i="17"/>
  <c r="L7" i="17"/>
  <c r="L45" i="17"/>
  <c r="L46" i="17"/>
  <c r="L47" i="17"/>
  <c r="L48" i="17"/>
  <c r="L49" i="17"/>
  <c r="L50" i="17"/>
  <c r="L98" i="17"/>
  <c r="L111" i="17"/>
  <c r="L8" i="17"/>
  <c r="L51" i="17"/>
  <c r="N51" i="17" s="1" a="1"/>
  <c r="N51" i="17" s="1"/>
  <c r="L52" i="17"/>
  <c r="L53" i="17"/>
  <c r="L54" i="17"/>
  <c r="L55" i="17"/>
  <c r="N55" i="17" s="1" a="1"/>
  <c r="N55" i="17" s="1"/>
  <c r="L56" i="17"/>
  <c r="L99" i="17"/>
  <c r="L112" i="17"/>
  <c r="L9" i="17"/>
  <c r="L57" i="17"/>
  <c r="L58" i="17"/>
  <c r="L59" i="17"/>
  <c r="L60" i="17"/>
  <c r="N60" i="17" s="1" a="1"/>
  <c r="N60" i="17" s="1"/>
  <c r="L61" i="17"/>
  <c r="L62" i="17"/>
  <c r="L100" i="17"/>
  <c r="L113" i="17"/>
  <c r="L10" i="17"/>
  <c r="L63" i="17"/>
  <c r="L64" i="17"/>
  <c r="L65" i="17"/>
  <c r="L66" i="17"/>
  <c r="L67" i="17"/>
  <c r="L68" i="17"/>
  <c r="L101" i="17"/>
  <c r="L114" i="17"/>
  <c r="L11" i="17"/>
  <c r="L69" i="17"/>
  <c r="L70" i="17"/>
  <c r="L71" i="17"/>
  <c r="L72" i="17"/>
  <c r="L73" i="17"/>
  <c r="L74" i="17"/>
  <c r="L102" i="17"/>
  <c r="L115" i="17"/>
  <c r="L12" i="17"/>
  <c r="L75" i="17"/>
  <c r="L76" i="17"/>
  <c r="L77" i="17"/>
  <c r="L78" i="17"/>
  <c r="L79" i="17"/>
  <c r="L80" i="17"/>
  <c r="L103" i="17"/>
  <c r="L116" i="17"/>
  <c r="L13" i="17"/>
  <c r="N62" i="17" s="1" a="1"/>
  <c r="N62" i="17" s="1"/>
  <c r="L81" i="17"/>
  <c r="L82" i="17"/>
  <c r="L83" i="17"/>
  <c r="L84" i="17"/>
  <c r="L85" i="17"/>
  <c r="L86" i="17"/>
  <c r="L104" i="17"/>
  <c r="L117" i="17"/>
  <c r="L14" i="17"/>
  <c r="L87" i="17"/>
  <c r="L88" i="17"/>
  <c r="L89" i="17"/>
  <c r="L90" i="17"/>
  <c r="L91" i="17"/>
  <c r="L92" i="17"/>
  <c r="L105" i="17"/>
  <c r="L118" i="17"/>
  <c r="M2" i="17" a="1"/>
  <c r="M2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93" i="17" a="1"/>
  <c r="M93" i="17" s="1"/>
  <c r="M106" i="17" a="1"/>
  <c r="M106" i="17" s="1"/>
  <c r="M3" i="17" a="1"/>
  <c r="M3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26" i="17" a="1"/>
  <c r="M26" i="17" s="1"/>
  <c r="M94" i="17" a="1"/>
  <c r="M94" i="17" s="1"/>
  <c r="M107" i="17" a="1"/>
  <c r="M107" i="17" s="1"/>
  <c r="M4" i="17" a="1"/>
  <c r="M4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2" i="17" a="1"/>
  <c r="M32" i="17" s="1"/>
  <c r="M95" i="17" a="1"/>
  <c r="M95" i="17" s="1"/>
  <c r="M108" i="17" a="1"/>
  <c r="M108" i="17" s="1"/>
  <c r="M5" i="17" a="1"/>
  <c r="M5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8" i="17" a="1"/>
  <c r="M38" i="17" s="1"/>
  <c r="M96" i="17" a="1"/>
  <c r="M96" i="17" s="1"/>
  <c r="M109" i="17" a="1"/>
  <c r="M109" i="17" s="1"/>
  <c r="M6" i="17" a="1"/>
  <c r="M6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44" i="17" a="1"/>
  <c r="M44" i="17" s="1"/>
  <c r="M97" i="17" a="1"/>
  <c r="M97" i="17" s="1"/>
  <c r="M110" i="17" a="1"/>
  <c r="M110" i="17" s="1"/>
  <c r="M7" i="17" a="1"/>
  <c r="M7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50" i="17" a="1"/>
  <c r="M50" i="17" s="1"/>
  <c r="M98" i="17" a="1"/>
  <c r="M98" i="17" s="1"/>
  <c r="M111" i="17" a="1"/>
  <c r="M111" i="17" s="1"/>
  <c r="M8" i="17" a="1"/>
  <c r="M8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56" i="17" a="1"/>
  <c r="M56" i="17" s="1"/>
  <c r="M99" i="17" a="1"/>
  <c r="M99" i="17" s="1"/>
  <c r="M112" i="17" a="1"/>
  <c r="M112" i="17" s="1"/>
  <c r="M9" i="17" a="1"/>
  <c r="M9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62" i="17" a="1"/>
  <c r="M62" i="17" s="1"/>
  <c r="M100" i="17" a="1"/>
  <c r="M100" i="17" s="1"/>
  <c r="M113" i="17" a="1"/>
  <c r="M113" i="17" s="1"/>
  <c r="M10" i="17" a="1"/>
  <c r="M10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68" i="17" a="1"/>
  <c r="M68" i="17" s="1"/>
  <c r="M101" i="17" a="1"/>
  <c r="M101" i="17" s="1"/>
  <c r="M114" i="17" a="1"/>
  <c r="M114" i="17" s="1"/>
  <c r="M11" i="17" a="1"/>
  <c r="M11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74" i="17" a="1"/>
  <c r="M74" i="17" s="1"/>
  <c r="M102" i="17" a="1"/>
  <c r="M102" i="17" s="1"/>
  <c r="M115" i="17" a="1"/>
  <c r="M115" i="17" s="1"/>
  <c r="M12" i="17" a="1"/>
  <c r="M12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 s="1"/>
  <c r="M80" i="17" a="1"/>
  <c r="M80" i="17" s="1"/>
  <c r="M103" i="17" a="1"/>
  <c r="M103" i="17" s="1"/>
  <c r="M116" i="17" a="1"/>
  <c r="M116" i="17" s="1"/>
  <c r="M13" i="17" a="1"/>
  <c r="M13" i="17" s="1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104" i="17" a="1"/>
  <c r="M104" i="17" s="1"/>
  <c r="M117" i="17" a="1"/>
  <c r="M117" i="17" s="1"/>
  <c r="M14" i="17" a="1"/>
  <c r="M14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105" i="17" a="1"/>
  <c r="M105" i="17" s="1"/>
  <c r="M118" i="17" a="1"/>
  <c r="M118" i="17" s="1"/>
  <c r="N19" i="17" a="1"/>
  <c r="N19" i="17" s="1"/>
  <c r="N25" i="17" a="1"/>
  <c r="N25" i="17" s="1"/>
  <c r="N28" i="17" a="1"/>
  <c r="N28" i="17" s="1"/>
  <c r="N95" i="17" a="1"/>
  <c r="N95" i="17" s="1"/>
  <c r="N35" i="17" a="1"/>
  <c r="N35" i="17" s="1"/>
  <c r="N6" i="17" a="1"/>
  <c r="N6" i="17" s="1"/>
  <c r="N43" i="17" a="1"/>
  <c r="N43" i="17" s="1"/>
  <c r="N45" i="17" a="1"/>
  <c r="N45" i="17" s="1"/>
  <c r="N98" i="17" a="1"/>
  <c r="N98" i="17" s="1"/>
  <c r="N52" i="17" a="1"/>
  <c r="N52" i="17" s="1"/>
  <c r="N112" i="17" a="1"/>
  <c r="N112" i="17" s="1"/>
  <c r="N58" i="17" a="1"/>
  <c r="N58" i="17" s="1"/>
  <c r="N10" i="17" a="1"/>
  <c r="N10" i="17" s="1"/>
  <c r="N65" i="17" a="1"/>
  <c r="N65" i="17" s="1"/>
  <c r="N66" i="17" a="1"/>
  <c r="N66" i="17" s="1"/>
  <c r="N67" i="17" a="1"/>
  <c r="N67" i="17" s="1"/>
  <c r="N101" i="17" a="1"/>
  <c r="N101" i="17" s="1"/>
  <c r="N114" i="17" a="1"/>
  <c r="N114" i="17" s="1"/>
  <c r="N11" i="17" a="1"/>
  <c r="N11" i="17" s="1"/>
  <c r="N70" i="17" a="1"/>
  <c r="N70" i="17" s="1"/>
  <c r="N71" i="17" a="1"/>
  <c r="N71" i="17" s="1"/>
  <c r="N72" i="17" a="1"/>
  <c r="N72" i="17" s="1"/>
  <c r="N73" i="17" a="1"/>
  <c r="N73" i="17" s="1"/>
  <c r="N74" i="17" a="1"/>
  <c r="N74" i="17" s="1"/>
  <c r="N102" i="17" a="1"/>
  <c r="N102" i="17" s="1"/>
  <c r="N115" i="17" a="1"/>
  <c r="N115" i="17" s="1"/>
  <c r="N12" i="17" a="1"/>
  <c r="N12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80" i="17" a="1"/>
  <c r="N80" i="17" s="1"/>
  <c r="N103" i="17" a="1"/>
  <c r="N103" i="17" s="1"/>
  <c r="N116" i="17" a="1"/>
  <c r="N116" i="17" s="1"/>
  <c r="N13" i="17" a="1"/>
  <c r="N13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104" i="17" a="1"/>
  <c r="N104" i="17" s="1"/>
  <c r="N117" i="17" a="1"/>
  <c r="N117" i="17" s="1"/>
  <c r="N14" i="17" a="1"/>
  <c r="N14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105" i="17" a="1"/>
  <c r="N105" i="17" s="1"/>
  <c r="N118" i="17" a="1"/>
  <c r="N118" i="17" s="1"/>
  <c r="O2" i="17" a="1"/>
  <c r="O2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20" i="17" a="1"/>
  <c r="O20" i="17" s="1"/>
  <c r="O93" i="17" a="1"/>
  <c r="O93" i="17"/>
  <c r="O106" i="17" a="1"/>
  <c r="O106" i="17" s="1"/>
  <c r="O3" i="17" a="1"/>
  <c r="O3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26" i="17" a="1"/>
  <c r="O26" i="17"/>
  <c r="O94" i="17" a="1"/>
  <c r="O94" i="17" s="1"/>
  <c r="O107" i="17" a="1"/>
  <c r="O107" i="17" s="1"/>
  <c r="O4" i="17" a="1"/>
  <c r="O4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32" i="17" a="1"/>
  <c r="O32" i="17" s="1"/>
  <c r="O95" i="17" a="1"/>
  <c r="O95" i="17" s="1"/>
  <c r="O108" i="17" a="1"/>
  <c r="O108" i="17" s="1"/>
  <c r="O5" i="17" a="1"/>
  <c r="O5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38" i="17" a="1"/>
  <c r="O38" i="17" s="1"/>
  <c r="O96" i="17" a="1"/>
  <c r="O96" i="17" s="1"/>
  <c r="O109" i="17" a="1"/>
  <c r="O109" i="17" s="1"/>
  <c r="O6" i="17" a="1"/>
  <c r="O6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44" i="17" a="1"/>
  <c r="O44" i="17" s="1"/>
  <c r="O97" i="17" a="1"/>
  <c r="O97" i="17" s="1"/>
  <c r="O110" i="17" a="1"/>
  <c r="O110" i="17" s="1"/>
  <c r="O7" i="17" a="1"/>
  <c r="O7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50" i="17" a="1"/>
  <c r="O50" i="17" s="1"/>
  <c r="O98" i="17" a="1"/>
  <c r="O98" i="17" s="1"/>
  <c r="O111" i="17" a="1"/>
  <c r="O111" i="17" s="1"/>
  <c r="O8" i="17" a="1"/>
  <c r="O8" i="17" s="1"/>
  <c r="O51" i="17" a="1"/>
  <c r="O51" i="17" s="1"/>
  <c r="O52" i="17" a="1"/>
  <c r="O52" i="17" s="1"/>
  <c r="O53" i="17" a="1"/>
  <c r="O53" i="17" s="1"/>
  <c r="O54" i="17" a="1"/>
  <c r="O54" i="17" s="1"/>
  <c r="O55" i="17" a="1"/>
  <c r="O55" i="17" s="1"/>
  <c r="O56" i="17" a="1"/>
  <c r="O56" i="17" s="1"/>
  <c r="O99" i="17" a="1"/>
  <c r="O99" i="17" s="1"/>
  <c r="O112" i="17" a="1"/>
  <c r="O112" i="17" s="1"/>
  <c r="O9" i="17" a="1"/>
  <c r="O9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62" i="17" a="1"/>
  <c r="O62" i="17" s="1"/>
  <c r="O100" i="17" a="1"/>
  <c r="O100" i="17" s="1"/>
  <c r="O113" i="17" a="1"/>
  <c r="O113" i="17"/>
  <c r="O10" i="17" a="1"/>
  <c r="O10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68" i="17" a="1"/>
  <c r="O68" i="17" s="1"/>
  <c r="O101" i="17" a="1"/>
  <c r="O101" i="17"/>
  <c r="O114" i="17" a="1"/>
  <c r="O114" i="17" s="1"/>
  <c r="O11" i="17" a="1"/>
  <c r="O11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74" i="17" a="1"/>
  <c r="O74" i="17" s="1"/>
  <c r="O102" i="17" a="1"/>
  <c r="O102" i="17" s="1"/>
  <c r="O115" i="17" a="1"/>
  <c r="O115" i="17" s="1"/>
  <c r="O12" i="17" a="1"/>
  <c r="O12" i="17" s="1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80" i="17" a="1"/>
  <c r="O80" i="17" s="1"/>
  <c r="O103" i="17" a="1"/>
  <c r="O103" i="17" s="1"/>
  <c r="O116" i="17" a="1"/>
  <c r="O116" i="17" s="1"/>
  <c r="O13" i="17" a="1"/>
  <c r="O13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86" i="17" a="1"/>
  <c r="O86" i="17" s="1"/>
  <c r="O104" i="17" a="1"/>
  <c r="O104" i="17" s="1"/>
  <c r="O117" i="17" a="1"/>
  <c r="O117" i="17" s="1"/>
  <c r="O14" i="17" a="1"/>
  <c r="O14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105" i="17" a="1"/>
  <c r="O105" i="17" s="1"/>
  <c r="O118" i="17" a="1"/>
  <c r="O118" i="17" s="1"/>
  <c r="P2" i="17" a="1"/>
  <c r="P2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93" i="17" a="1"/>
  <c r="P93" i="17" s="1"/>
  <c r="P106" i="17" a="1"/>
  <c r="P106" i="17" s="1"/>
  <c r="P3" i="17" a="1"/>
  <c r="P3" i="17" s="1"/>
  <c r="P21" i="17" a="1"/>
  <c r="P21" i="17"/>
  <c r="P22" i="17" a="1"/>
  <c r="P22" i="17" s="1"/>
  <c r="P23" i="17" a="1"/>
  <c r="P23" i="17"/>
  <c r="P24" i="17" a="1"/>
  <c r="P24" i="17" s="1"/>
  <c r="P25" i="17" a="1"/>
  <c r="P25" i="17" s="1"/>
  <c r="P26" i="17" a="1"/>
  <c r="P26" i="17" s="1"/>
  <c r="P94" i="17" a="1"/>
  <c r="P94" i="17" s="1"/>
  <c r="P107" i="17" a="1"/>
  <c r="P107" i="17" s="1"/>
  <c r="P4" i="17" a="1"/>
  <c r="P4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2" i="17" a="1"/>
  <c r="P32" i="17" s="1"/>
  <c r="P95" i="17" a="1"/>
  <c r="P95" i="17" s="1"/>
  <c r="P108" i="17" a="1"/>
  <c r="P108" i="17" s="1"/>
  <c r="P5" i="17" a="1"/>
  <c r="P5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38" i="17" a="1"/>
  <c r="P38" i="17" s="1"/>
  <c r="P96" i="17" a="1"/>
  <c r="P96" i="17" s="1"/>
  <c r="P109" i="17" a="1"/>
  <c r="P109" i="17" s="1"/>
  <c r="P6" i="17" a="1"/>
  <c r="P6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44" i="17" a="1"/>
  <c r="P44" i="17" s="1"/>
  <c r="P97" i="17" a="1"/>
  <c r="P97" i="17" s="1"/>
  <c r="P110" i="17" a="1"/>
  <c r="P110" i="17"/>
  <c r="P7" i="17" a="1"/>
  <c r="P7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/>
  <c r="P50" i="17" a="1"/>
  <c r="P50" i="17" s="1"/>
  <c r="P98" i="17" a="1"/>
  <c r="P98" i="17" s="1"/>
  <c r="P111" i="17" a="1"/>
  <c r="P111" i="17" s="1"/>
  <c r="P8" i="17" a="1"/>
  <c r="P8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56" i="17" a="1"/>
  <c r="P56" i="17" s="1"/>
  <c r="P99" i="17" a="1"/>
  <c r="P99" i="17" s="1"/>
  <c r="P112" i="17" a="1"/>
  <c r="P112" i="17" s="1"/>
  <c r="P9" i="17" a="1"/>
  <c r="P9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/>
  <c r="P62" i="17" a="1"/>
  <c r="P62" i="17" s="1"/>
  <c r="P100" i="17" a="1"/>
  <c r="P100" i="17" s="1"/>
  <c r="P113" i="17" a="1"/>
  <c r="P113" i="17" s="1"/>
  <c r="P10" i="17" a="1"/>
  <c r="P10" i="17" s="1"/>
  <c r="P63" i="17" a="1"/>
  <c r="P63" i="17" s="1"/>
  <c r="P64" i="17" a="1"/>
  <c r="P64" i="17"/>
  <c r="P65" i="17" a="1"/>
  <c r="P65" i="17" s="1"/>
  <c r="P66" i="17" a="1"/>
  <c r="P66" i="17" s="1"/>
  <c r="P67" i="17" a="1"/>
  <c r="P67" i="17" s="1"/>
  <c r="P68" i="17" a="1"/>
  <c r="P68" i="17" s="1"/>
  <c r="P101" i="17" a="1"/>
  <c r="P101" i="17" s="1"/>
  <c r="P114" i="17" a="1"/>
  <c r="P114" i="17" s="1"/>
  <c r="P11" i="17" a="1"/>
  <c r="P11" i="17" s="1"/>
  <c r="P69" i="17" a="1"/>
  <c r="P69" i="17" s="1"/>
  <c r="P70" i="17" a="1"/>
  <c r="P70" i="17" s="1"/>
  <c r="P71" i="17" a="1"/>
  <c r="P71" i="17"/>
  <c r="P72" i="17" a="1"/>
  <c r="P72" i="17" s="1"/>
  <c r="P73" i="17" a="1"/>
  <c r="P73" i="17" s="1"/>
  <c r="P74" i="17" a="1"/>
  <c r="P74" i="17" s="1"/>
  <c r="P102" i="17" a="1"/>
  <c r="P102" i="17" s="1"/>
  <c r="P115" i="17" a="1"/>
  <c r="P115" i="17" s="1"/>
  <c r="P12" i="17" a="1"/>
  <c r="P12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80" i="17" a="1"/>
  <c r="P80" i="17" s="1"/>
  <c r="P103" i="17" a="1"/>
  <c r="P103" i="17" s="1"/>
  <c r="P116" i="17" a="1"/>
  <c r="P116" i="17" s="1"/>
  <c r="P13" i="17" a="1"/>
  <c r="P13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104" i="17" a="1"/>
  <c r="P104" i="17" s="1"/>
  <c r="P117" i="17" a="1"/>
  <c r="P117" i="17" s="1"/>
  <c r="P14" i="17" a="1"/>
  <c r="P14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105" i="17" a="1"/>
  <c r="P105" i="17" s="1"/>
  <c r="P118" i="17" a="1"/>
  <c r="P118" i="17" s="1"/>
  <c r="R2" i="17" a="1"/>
  <c r="R2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20" i="17" a="1"/>
  <c r="R20" i="17" s="1"/>
  <c r="R93" i="17" a="1"/>
  <c r="R93" i="17" s="1"/>
  <c r="R106" i="17" a="1"/>
  <c r="R106" i="17" s="1"/>
  <c r="R3" i="17" a="1"/>
  <c r="R3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26" i="17" a="1"/>
  <c r="R26" i="17" s="1"/>
  <c r="R94" i="17" a="1"/>
  <c r="R94" i="17" s="1"/>
  <c r="R107" i="17" a="1"/>
  <c r="R107" i="17" s="1"/>
  <c r="R4" i="17" a="1"/>
  <c r="R4" i="17"/>
  <c r="R27" i="17" a="1"/>
  <c r="R27" i="17" s="1"/>
  <c r="R28" i="17" a="1"/>
  <c r="R28" i="17"/>
  <c r="R29" i="17" a="1"/>
  <c r="R29" i="17" s="1"/>
  <c r="R30" i="17" a="1"/>
  <c r="R30" i="17" s="1"/>
  <c r="R31" i="17" a="1"/>
  <c r="R31" i="17" s="1"/>
  <c r="R32" i="17" a="1"/>
  <c r="R32" i="17" s="1"/>
  <c r="R95" i="17" a="1"/>
  <c r="R95" i="17" s="1"/>
  <c r="R108" i="17" a="1"/>
  <c r="R108" i="17" s="1"/>
  <c r="R5" i="17" a="1"/>
  <c r="R5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8" i="17" a="1"/>
  <c r="R38" i="17" s="1"/>
  <c r="R96" i="17" a="1"/>
  <c r="R96" i="17" s="1"/>
  <c r="R109" i="17" a="1"/>
  <c r="R109" i="17" s="1"/>
  <c r="R6" i="17" a="1"/>
  <c r="R6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44" i="17" a="1"/>
  <c r="R44" i="17" s="1"/>
  <c r="R97" i="17" a="1"/>
  <c r="R97" i="17" s="1"/>
  <c r="R110" i="17" a="1"/>
  <c r="R110" i="17" s="1"/>
  <c r="R7" i="17" a="1"/>
  <c r="R7" i="17" s="1"/>
  <c r="R45" i="17" a="1"/>
  <c r="R45" i="17" s="1"/>
  <c r="R46" i="17" a="1"/>
  <c r="R46" i="17" s="1"/>
  <c r="R47" i="17" a="1"/>
  <c r="R47" i="17" s="1"/>
  <c r="R48" i="17" a="1"/>
  <c r="R48" i="17" s="1"/>
  <c r="R49" i="17" a="1"/>
  <c r="R49" i="17" s="1"/>
  <c r="R50" i="17" a="1"/>
  <c r="R50" i="17" s="1"/>
  <c r="R98" i="17" a="1"/>
  <c r="R98" i="17" s="1"/>
  <c r="R111" i="17" a="1"/>
  <c r="R111" i="17" s="1"/>
  <c r="R8" i="17" a="1"/>
  <c r="R8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56" i="17" a="1"/>
  <c r="R56" i="17" s="1"/>
  <c r="R99" i="17" a="1"/>
  <c r="R99" i="17" s="1"/>
  <c r="R112" i="17" a="1"/>
  <c r="R112" i="17" s="1"/>
  <c r="R9" i="17" a="1"/>
  <c r="R9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62" i="17" a="1"/>
  <c r="R62" i="17" s="1"/>
  <c r="R100" i="17" a="1"/>
  <c r="R100" i="17" s="1"/>
  <c r="R113" i="17" a="1"/>
  <c r="R113" i="17" s="1"/>
  <c r="R10" i="17" a="1"/>
  <c r="R10" i="17" s="1"/>
  <c r="R63" i="17" a="1"/>
  <c r="R63" i="17" s="1"/>
  <c r="R64" i="17" a="1"/>
  <c r="R64" i="17" s="1"/>
  <c r="R65" i="17" a="1"/>
  <c r="R65" i="17" s="1"/>
  <c r="R66" i="17" a="1"/>
  <c r="R66" i="17"/>
  <c r="R67" i="17" a="1"/>
  <c r="R67" i="17" s="1"/>
  <c r="R68" i="17" a="1"/>
  <c r="R68" i="17" s="1"/>
  <c r="R101" i="17" a="1"/>
  <c r="R101" i="17" s="1"/>
  <c r="R114" i="17" a="1"/>
  <c r="R114" i="17" s="1"/>
  <c r="R11" i="17" a="1"/>
  <c r="R11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74" i="17" a="1"/>
  <c r="R74" i="17" s="1"/>
  <c r="R102" i="17" a="1"/>
  <c r="R102" i="17" s="1"/>
  <c r="R115" i="17" a="1"/>
  <c r="R115" i="17" s="1"/>
  <c r="R12" i="17" a="1"/>
  <c r="R12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80" i="17" a="1"/>
  <c r="R80" i="17" s="1"/>
  <c r="R103" i="17" a="1"/>
  <c r="R103" i="17" s="1"/>
  <c r="R116" i="17" a="1"/>
  <c r="R116" i="17" s="1"/>
  <c r="R13" i="17" a="1"/>
  <c r="R13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104" i="17" a="1"/>
  <c r="R104" i="17" s="1"/>
  <c r="R117" i="17" a="1"/>
  <c r="R117" i="17" s="1"/>
  <c r="R14" i="17" a="1"/>
  <c r="R14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105" i="17" a="1"/>
  <c r="R105" i="17" s="1"/>
  <c r="R118" i="17" a="1"/>
  <c r="R118" i="17" s="1"/>
  <c r="S2" i="17" a="1"/>
  <c r="S2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20" i="17" a="1"/>
  <c r="S20" i="17" s="1"/>
  <c r="S93" i="17" a="1"/>
  <c r="S93" i="17" s="1"/>
  <c r="S106" i="17" a="1"/>
  <c r="S106" i="17" s="1"/>
  <c r="S3" i="17" a="1"/>
  <c r="S3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26" i="17" a="1"/>
  <c r="S26" i="17" s="1"/>
  <c r="S94" i="17" a="1"/>
  <c r="S94" i="17" s="1"/>
  <c r="S107" i="17" a="1"/>
  <c r="S107" i="17" s="1"/>
  <c r="S4" i="17" a="1"/>
  <c r="S4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2" i="17" a="1"/>
  <c r="S32" i="17" s="1"/>
  <c r="S95" i="17" a="1"/>
  <c r="S95" i="17" s="1"/>
  <c r="S108" i="17" a="1"/>
  <c r="S108" i="17" s="1"/>
  <c r="S5" i="17" a="1"/>
  <c r="S5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8" i="17" a="1"/>
  <c r="S38" i="17" s="1"/>
  <c r="S96" i="17" a="1"/>
  <c r="S96" i="17" s="1"/>
  <c r="S109" i="17" a="1"/>
  <c r="S109" i="17" s="1"/>
  <c r="S6" i="17" a="1"/>
  <c r="S6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44" i="17" a="1"/>
  <c r="S44" i="17" s="1"/>
  <c r="S97" i="17" a="1"/>
  <c r="S97" i="17" s="1"/>
  <c r="S110" i="17" a="1"/>
  <c r="S110" i="17" s="1"/>
  <c r="S7" i="17" a="1"/>
  <c r="S7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50" i="17" a="1"/>
  <c r="S50" i="17" s="1"/>
  <c r="S98" i="17" a="1"/>
  <c r="S98" i="17" s="1"/>
  <c r="S111" i="17" a="1"/>
  <c r="S111" i="17" s="1"/>
  <c r="S8" i="17" a="1"/>
  <c r="S8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56" i="17" a="1"/>
  <c r="S56" i="17" s="1"/>
  <c r="S99" i="17" a="1"/>
  <c r="S99" i="17" s="1"/>
  <c r="S112" i="17" a="1"/>
  <c r="S112" i="17" s="1"/>
  <c r="S9" i="17" a="1"/>
  <c r="S9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62" i="17" a="1"/>
  <c r="S62" i="17" s="1"/>
  <c r="S100" i="17" a="1"/>
  <c r="S100" i="17" s="1"/>
  <c r="S113" i="17" a="1"/>
  <c r="S113" i="17" s="1"/>
  <c r="S10" i="17" a="1"/>
  <c r="S10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68" i="17" a="1"/>
  <c r="S68" i="17" s="1"/>
  <c r="S101" i="17" a="1"/>
  <c r="S101" i="17" s="1"/>
  <c r="S114" i="17" a="1"/>
  <c r="S114" i="17" s="1"/>
  <c r="S11" i="17" a="1"/>
  <c r="S11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74" i="17" a="1"/>
  <c r="S74" i="17" s="1"/>
  <c r="S102" i="17" a="1"/>
  <c r="S102" i="17" s="1"/>
  <c r="S115" i="17" a="1"/>
  <c r="S115" i="17" s="1"/>
  <c r="S12" i="17" a="1"/>
  <c r="S12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80" i="17" a="1"/>
  <c r="S80" i="17" s="1"/>
  <c r="S103" i="17" a="1"/>
  <c r="S103" i="17" s="1"/>
  <c r="S116" i="17" a="1"/>
  <c r="S116" i="17" s="1"/>
  <c r="S13" i="17" a="1"/>
  <c r="S13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86" i="17" a="1"/>
  <c r="S86" i="17" s="1"/>
  <c r="S104" i="17" a="1"/>
  <c r="S104" i="17" s="1"/>
  <c r="S117" i="17" a="1"/>
  <c r="S117" i="17" s="1"/>
  <c r="S14" i="17" a="1"/>
  <c r="S14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105" i="17" a="1"/>
  <c r="S105" i="17" s="1"/>
  <c r="S118" i="17" a="1"/>
  <c r="S118" i="17" s="1"/>
  <c r="T2" i="17" a="1"/>
  <c r="T2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20" i="17" a="1"/>
  <c r="T20" i="17" s="1"/>
  <c r="T93" i="17" a="1"/>
  <c r="T93" i="17" s="1"/>
  <c r="T106" i="17" a="1"/>
  <c r="T106" i="17" s="1"/>
  <c r="T3" i="17" a="1"/>
  <c r="T3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26" i="17" a="1"/>
  <c r="T26" i="17" s="1"/>
  <c r="T94" i="17" a="1"/>
  <c r="T94" i="17" s="1"/>
  <c r="T107" i="17" a="1"/>
  <c r="T107" i="17" s="1"/>
  <c r="T4" i="17" a="1"/>
  <c r="T4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2" i="17" a="1"/>
  <c r="T32" i="17" s="1"/>
  <c r="T95" i="17" a="1"/>
  <c r="T95" i="17" s="1"/>
  <c r="T108" i="17" a="1"/>
  <c r="T108" i="17" s="1"/>
  <c r="T5" i="17" a="1"/>
  <c r="T5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8" i="17" a="1"/>
  <c r="T38" i="17" s="1"/>
  <c r="T96" i="17" a="1"/>
  <c r="T96" i="17" s="1"/>
  <c r="T109" i="17" a="1"/>
  <c r="T109" i="17" s="1"/>
  <c r="T6" i="17" a="1"/>
  <c r="T6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44" i="17" a="1"/>
  <c r="T44" i="17" s="1"/>
  <c r="T97" i="17" a="1"/>
  <c r="T97" i="17" s="1"/>
  <c r="T110" i="17" a="1"/>
  <c r="T110" i="17" s="1"/>
  <c r="T7" i="17" a="1"/>
  <c r="T7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50" i="17" a="1"/>
  <c r="T50" i="17" s="1"/>
  <c r="T98" i="17" a="1"/>
  <c r="T98" i="17" s="1"/>
  <c r="T111" i="17" a="1"/>
  <c r="T111" i="17" s="1"/>
  <c r="T8" i="17" a="1"/>
  <c r="T8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56" i="17" a="1"/>
  <c r="T56" i="17" s="1"/>
  <c r="T99" i="17" a="1"/>
  <c r="T99" i="17" s="1"/>
  <c r="T112" i="17" a="1"/>
  <c r="T112" i="17" s="1"/>
  <c r="T9" i="17" a="1"/>
  <c r="T9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62" i="17" a="1"/>
  <c r="T62" i="17" s="1"/>
  <c r="T100" i="17" a="1"/>
  <c r="T100" i="17" s="1"/>
  <c r="T113" i="17" a="1"/>
  <c r="T113" i="17" s="1"/>
  <c r="T10" i="17" a="1"/>
  <c r="T10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68" i="17" a="1"/>
  <c r="T68" i="17" s="1"/>
  <c r="T101" i="17" a="1"/>
  <c r="T101" i="17" s="1"/>
  <c r="T114" i="17" a="1"/>
  <c r="T114" i="17" s="1"/>
  <c r="T11" i="17" a="1"/>
  <c r="T11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74" i="17" a="1"/>
  <c r="T74" i="17" s="1"/>
  <c r="T102" i="17" a="1"/>
  <c r="T102" i="17" s="1"/>
  <c r="T115" i="17" a="1"/>
  <c r="T115" i="17" s="1"/>
  <c r="T12" i="17" a="1"/>
  <c r="T12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80" i="17" a="1"/>
  <c r="T80" i="17" s="1"/>
  <c r="T103" i="17" a="1"/>
  <c r="T103" i="17" s="1"/>
  <c r="T116" i="17" a="1"/>
  <c r="T116" i="17" s="1"/>
  <c r="T13" i="17" a="1"/>
  <c r="T13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 s="1"/>
  <c r="T104" i="17" a="1"/>
  <c r="T104" i="17" s="1"/>
  <c r="T117" i="17" a="1"/>
  <c r="T117" i="17" s="1"/>
  <c r="T14" i="17" a="1"/>
  <c r="T14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105" i="17" a="1"/>
  <c r="T105" i="17" s="1"/>
  <c r="T118" i="17" a="1"/>
  <c r="T118" i="17" s="1"/>
  <c r="U2" i="17" a="1"/>
  <c r="U2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20" i="17" a="1"/>
  <c r="U20" i="17" s="1"/>
  <c r="U93" i="17" a="1"/>
  <c r="U93" i="17" s="1"/>
  <c r="U106" i="17" a="1"/>
  <c r="U106" i="17" s="1"/>
  <c r="U3" i="17" a="1"/>
  <c r="U3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26" i="17" a="1"/>
  <c r="U26" i="17" s="1"/>
  <c r="U94" i="17" a="1"/>
  <c r="U94" i="17" s="1"/>
  <c r="U107" i="17" a="1"/>
  <c r="U107" i="17" s="1"/>
  <c r="U4" i="17" a="1"/>
  <c r="U4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32" i="17" a="1"/>
  <c r="U32" i="17" s="1"/>
  <c r="U95" i="17" a="1"/>
  <c r="U95" i="17" s="1"/>
  <c r="U108" i="17" a="1"/>
  <c r="U108" i="17" s="1"/>
  <c r="U5" i="17" a="1"/>
  <c r="U5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8" i="17" a="1"/>
  <c r="U38" i="17" s="1"/>
  <c r="U96" i="17" a="1"/>
  <c r="U96" i="17" s="1"/>
  <c r="U109" i="17" a="1"/>
  <c r="U109" i="17" s="1"/>
  <c r="U6" i="17" a="1"/>
  <c r="U6" i="17" s="1"/>
  <c r="U39" i="17" a="1"/>
  <c r="U39" i="17" s="1"/>
  <c r="U40" i="17" a="1"/>
  <c r="U40" i="17" s="1"/>
  <c r="U41" i="17" a="1"/>
  <c r="U41" i="17"/>
  <c r="U42" i="17" a="1"/>
  <c r="U42" i="17" s="1"/>
  <c r="U43" i="17" a="1"/>
  <c r="U43" i="17" s="1"/>
  <c r="U44" i="17" a="1"/>
  <c r="U44" i="17" s="1"/>
  <c r="U97" i="17" a="1"/>
  <c r="U97" i="17"/>
  <c r="U110" i="17" a="1"/>
  <c r="U110" i="17" s="1"/>
  <c r="U7" i="17" a="1"/>
  <c r="U7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50" i="17" a="1"/>
  <c r="U50" i="17" s="1"/>
  <c r="U98" i="17" a="1"/>
  <c r="U98" i="17" s="1"/>
  <c r="U111" i="17" a="1"/>
  <c r="U111" i="17" s="1"/>
  <c r="U8" i="17" a="1"/>
  <c r="U8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56" i="17" a="1"/>
  <c r="U56" i="17" s="1"/>
  <c r="U99" i="17" a="1"/>
  <c r="U99" i="17" s="1"/>
  <c r="U112" i="17" a="1"/>
  <c r="U112" i="17" s="1"/>
  <c r="U9" i="17" a="1"/>
  <c r="U9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62" i="17" a="1"/>
  <c r="U62" i="17" s="1"/>
  <c r="U100" i="17" a="1"/>
  <c r="U100" i="17" s="1"/>
  <c r="U113" i="17" a="1"/>
  <c r="U113" i="17"/>
  <c r="U10" i="17" a="1"/>
  <c r="U10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68" i="17" a="1"/>
  <c r="U68" i="17" s="1"/>
  <c r="U101" i="17" a="1"/>
  <c r="U101" i="17" s="1"/>
  <c r="U114" i="17" a="1"/>
  <c r="U114" i="17" s="1"/>
  <c r="U11" i="17" a="1"/>
  <c r="U11" i="17" s="1"/>
  <c r="U69" i="17" a="1"/>
  <c r="U69" i="17" s="1"/>
  <c r="U70" i="17" a="1"/>
  <c r="U70" i="17" s="1"/>
  <c r="U71" i="17" a="1"/>
  <c r="U71" i="17" s="1"/>
  <c r="U72" i="17" a="1"/>
  <c r="U72" i="17" s="1"/>
  <c r="U73" i="17" a="1"/>
  <c r="U73" i="17" s="1"/>
  <c r="U74" i="17" a="1"/>
  <c r="U74" i="17" s="1"/>
  <c r="U102" i="17" a="1"/>
  <c r="U102" i="17" s="1"/>
  <c r="U115" i="17" a="1"/>
  <c r="U115" i="17" s="1"/>
  <c r="U12" i="17" a="1"/>
  <c r="U12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80" i="17" a="1"/>
  <c r="U80" i="17" s="1"/>
  <c r="U103" i="17" a="1"/>
  <c r="U103" i="17" s="1"/>
  <c r="U116" i="17" a="1"/>
  <c r="U116" i="17" s="1"/>
  <c r="U13" i="17" a="1"/>
  <c r="U13" i="17" s="1"/>
  <c r="U81" i="17" a="1"/>
  <c r="U81" i="17" s="1"/>
  <c r="U82" i="17" a="1"/>
  <c r="U82" i="17" s="1"/>
  <c r="U83" i="17" a="1"/>
  <c r="U83" i="17" s="1"/>
  <c r="U84" i="17" a="1"/>
  <c r="U84" i="17"/>
  <c r="U85" i="17" a="1"/>
  <c r="U85" i="17" s="1"/>
  <c r="U86" i="17" a="1"/>
  <c r="U86" i="17" s="1"/>
  <c r="U104" i="17" a="1"/>
  <c r="U104" i="17" s="1"/>
  <c r="U117" i="17" a="1"/>
  <c r="U117" i="17" s="1"/>
  <c r="U14" i="17" a="1"/>
  <c r="U14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105" i="17" a="1"/>
  <c r="U105" i="17" s="1"/>
  <c r="U118" i="17" a="1"/>
  <c r="U118" i="17" s="1"/>
  <c r="V2" i="17" a="1"/>
  <c r="V2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20" i="17" a="1"/>
  <c r="V20" i="17" s="1"/>
  <c r="V93" i="17" a="1"/>
  <c r="V93" i="17" s="1"/>
  <c r="V106" i="17" a="1"/>
  <c r="V106" i="17" s="1"/>
  <c r="V3" i="17" a="1"/>
  <c r="V3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26" i="17" a="1"/>
  <c r="V26" i="17" s="1"/>
  <c r="V94" i="17" a="1"/>
  <c r="V94" i="17" s="1"/>
  <c r="V107" i="17" a="1"/>
  <c r="V107" i="17" s="1"/>
  <c r="V4" i="17" a="1"/>
  <c r="V4" i="17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2" i="17" a="1"/>
  <c r="V32" i="17" s="1"/>
  <c r="V95" i="17" a="1"/>
  <c r="V95" i="17" s="1"/>
  <c r="V108" i="17" a="1"/>
  <c r="V108" i="17" s="1"/>
  <c r="V5" i="17" a="1"/>
  <c r="V5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38" i="17" a="1"/>
  <c r="V38" i="17" s="1"/>
  <c r="V96" i="17" a="1"/>
  <c r="V96" i="17" s="1"/>
  <c r="V109" i="17" a="1"/>
  <c r="V109" i="17" s="1"/>
  <c r="V6" i="17" a="1"/>
  <c r="V6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44" i="17" a="1"/>
  <c r="V44" i="17" s="1"/>
  <c r="V97" i="17" a="1"/>
  <c r="V97" i="17" s="1"/>
  <c r="V110" i="17" a="1"/>
  <c r="V110" i="17" s="1"/>
  <c r="V7" i="17" a="1"/>
  <c r="V7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/>
  <c r="V50" i="17" a="1"/>
  <c r="V50" i="17" s="1"/>
  <c r="V98" i="17" a="1"/>
  <c r="V98" i="17" s="1"/>
  <c r="V111" i="17" a="1"/>
  <c r="V111" i="17" s="1"/>
  <c r="V8" i="17" a="1"/>
  <c r="V8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56" i="17" a="1"/>
  <c r="V56" i="17" s="1"/>
  <c r="V99" i="17" a="1"/>
  <c r="V99" i="17" s="1"/>
  <c r="V112" i="17" a="1"/>
  <c r="V112" i="17" s="1"/>
  <c r="V9" i="17" a="1"/>
  <c r="V9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62" i="17" a="1"/>
  <c r="V62" i="17" s="1"/>
  <c r="V100" i="17" a="1"/>
  <c r="V100" i="17" s="1"/>
  <c r="V113" i="17" a="1"/>
  <c r="V113" i="17" s="1"/>
  <c r="V10" i="17" a="1"/>
  <c r="V10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68" i="17" a="1"/>
  <c r="V68" i="17" s="1"/>
  <c r="V101" i="17" a="1"/>
  <c r="V101" i="17" s="1"/>
  <c r="V114" i="17" a="1"/>
  <c r="V114" i="17" s="1"/>
  <c r="V11" i="17" a="1"/>
  <c r="V11" i="17" s="1"/>
  <c r="V69" i="17" a="1"/>
  <c r="V69" i="17"/>
  <c r="V70" i="17" a="1"/>
  <c r="V70" i="17" s="1"/>
  <c r="V71" i="17" a="1"/>
  <c r="V71" i="17" s="1"/>
  <c r="V72" i="17" a="1"/>
  <c r="V72" i="17" s="1"/>
  <c r="V73" i="17" a="1"/>
  <c r="V73" i="17" s="1"/>
  <c r="V74" i="17" a="1"/>
  <c r="V74" i="17" s="1"/>
  <c r="V102" i="17" a="1"/>
  <c r="V102" i="17" s="1"/>
  <c r="V115" i="17" a="1"/>
  <c r="V115" i="17" s="1"/>
  <c r="V12" i="17" a="1"/>
  <c r="V12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80" i="17" a="1"/>
  <c r="V80" i="17" s="1"/>
  <c r="V103" i="17" a="1"/>
  <c r="V103" i="17" s="1"/>
  <c r="V116" i="17" a="1"/>
  <c r="V116" i="17" s="1"/>
  <c r="V13" i="17" a="1"/>
  <c r="V13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104" i="17" a="1"/>
  <c r="V104" i="17" s="1"/>
  <c r="V117" i="17" a="1"/>
  <c r="V117" i="17" s="1"/>
  <c r="V14" i="17" a="1"/>
  <c r="V14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92" i="17" a="1"/>
  <c r="V92" i="17"/>
  <c r="V105" i="17" a="1"/>
  <c r="V105" i="17" s="1"/>
  <c r="V118" i="17" a="1"/>
  <c r="V118" i="17" s="1"/>
  <c r="X2" i="17" a="1"/>
  <c r="X2" i="17"/>
  <c r="X15" i="17" a="1"/>
  <c r="X15" i="17" s="1"/>
  <c r="X16" i="17" a="1"/>
  <c r="X16" i="17" s="1"/>
  <c r="Y16" i="17" s="1"/>
  <c r="X17" i="17" a="1"/>
  <c r="X17" i="17" s="1"/>
  <c r="X18" i="17" a="1"/>
  <c r="X18" i="17" s="1"/>
  <c r="X19" i="17" a="1"/>
  <c r="X19" i="17" s="1"/>
  <c r="X20" i="17" a="1"/>
  <c r="X20" i="17" s="1"/>
  <c r="X93" i="17" a="1"/>
  <c r="X93" i="17" s="1"/>
  <c r="X106" i="17" a="1"/>
  <c r="X106" i="17" s="1"/>
  <c r="X3" i="17" a="1"/>
  <c r="X3" i="17" s="1"/>
  <c r="X21" i="17" a="1"/>
  <c r="X21" i="17" s="1"/>
  <c r="X22" i="17" a="1"/>
  <c r="X22" i="17" s="1"/>
  <c r="X23" i="17" a="1"/>
  <c r="X23" i="17" s="1"/>
  <c r="X24" i="17" a="1"/>
  <c r="X24" i="17" s="1"/>
  <c r="X25" i="17" a="1"/>
  <c r="X25" i="17" s="1"/>
  <c r="X26" i="17" a="1"/>
  <c r="X26" i="17" s="1"/>
  <c r="X94" i="17" a="1"/>
  <c r="X94" i="17" s="1"/>
  <c r="X107" i="17" a="1"/>
  <c r="X107" i="17" s="1"/>
  <c r="X4" i="17" a="1"/>
  <c r="X4" i="17" s="1"/>
  <c r="X27" i="17" a="1"/>
  <c r="X27" i="17" s="1"/>
  <c r="X28" i="17" a="1"/>
  <c r="X28" i="17" s="1"/>
  <c r="X29" i="17" a="1"/>
  <c r="X29" i="17" s="1"/>
  <c r="X30" i="17" a="1"/>
  <c r="X30" i="17" s="1"/>
  <c r="X31" i="17" a="1"/>
  <c r="X31" i="17" s="1"/>
  <c r="X32" i="17" a="1"/>
  <c r="X32" i="17" s="1"/>
  <c r="X95" i="17" a="1"/>
  <c r="X95" i="17" s="1"/>
  <c r="X108" i="17" a="1"/>
  <c r="X108" i="17" s="1"/>
  <c r="X5" i="17" a="1"/>
  <c r="X5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38" i="17" a="1"/>
  <c r="X38" i="17" s="1"/>
  <c r="X96" i="17" a="1"/>
  <c r="X96" i="17" s="1"/>
  <c r="X109" i="17" a="1"/>
  <c r="X109" i="17" s="1"/>
  <c r="X6" i="17" a="1"/>
  <c r="X6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44" i="17" a="1"/>
  <c r="X44" i="17" s="1"/>
  <c r="X97" i="17" a="1"/>
  <c r="X97" i="17" s="1"/>
  <c r="X110" i="17" a="1"/>
  <c r="X110" i="17" s="1"/>
  <c r="X7" i="17" a="1"/>
  <c r="X7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X50" i="17" a="1"/>
  <c r="X50" i="17" s="1"/>
  <c r="X98" i="17" a="1"/>
  <c r="X98" i="17" s="1"/>
  <c r="X111" i="17" a="1"/>
  <c r="X111" i="17" s="1"/>
  <c r="X8" i="17" a="1"/>
  <c r="X8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X56" i="17" a="1"/>
  <c r="X56" i="17" s="1"/>
  <c r="X99" i="17" a="1"/>
  <c r="X99" i="17" s="1"/>
  <c r="X112" i="17" a="1"/>
  <c r="X112" i="17" s="1"/>
  <c r="X9" i="17" a="1"/>
  <c r="X9" i="17" s="1"/>
  <c r="X57" i="17" a="1"/>
  <c r="X57" i="17" s="1"/>
  <c r="Y57" i="17" s="1"/>
  <c r="X58" i="17" a="1"/>
  <c r="X58" i="17" s="1"/>
  <c r="X59" i="17" a="1"/>
  <c r="X59" i="17" s="1"/>
  <c r="X60" i="17" a="1"/>
  <c r="X60" i="17" s="1"/>
  <c r="X61" i="17" a="1"/>
  <c r="X61" i="17" s="1"/>
  <c r="Y61" i="17" s="1"/>
  <c r="Q61" i="17" s="1"/>
  <c r="W61" i="17" s="1"/>
  <c r="X62" i="17" a="1"/>
  <c r="X62" i="17" s="1"/>
  <c r="X100" i="17" a="1"/>
  <c r="X100" i="17" s="1"/>
  <c r="X113" i="17" a="1"/>
  <c r="X113" i="17" s="1"/>
  <c r="X10" i="17" a="1"/>
  <c r="X10" i="17" s="1"/>
  <c r="Y10" i="17" s="1"/>
  <c r="X63" i="17" a="1"/>
  <c r="X63" i="17" s="1"/>
  <c r="X64" i="17" a="1"/>
  <c r="X64" i="17" s="1"/>
  <c r="X65" i="17" a="1"/>
  <c r="X65" i="17" s="1"/>
  <c r="Y65" i="17" s="1"/>
  <c r="Q65" i="17" s="1"/>
  <c r="W65" i="17" s="1"/>
  <c r="X66" i="17" a="1"/>
  <c r="X66" i="17" s="1"/>
  <c r="Y66" i="17" s="1"/>
  <c r="X67" i="17" a="1"/>
  <c r="X67" i="17" s="1"/>
  <c r="Y67" i="17" s="1"/>
  <c r="Q67" i="17" s="1"/>
  <c r="W67" i="17" s="1"/>
  <c r="X68" i="17" a="1"/>
  <c r="X68" i="17" s="1"/>
  <c r="Y68" i="17" s="1"/>
  <c r="Q68" i="17" s="1"/>
  <c r="W68" i="17" s="1"/>
  <c r="X101" i="17" a="1"/>
  <c r="X101" i="17" s="1"/>
  <c r="Y101" i="17" s="1"/>
  <c r="Q101" i="17" s="1"/>
  <c r="W101" i="17" s="1"/>
  <c r="X114" i="17" a="1"/>
  <c r="X114" i="17" s="1"/>
  <c r="Y114" i="17" s="1"/>
  <c r="Q114" i="17" s="1"/>
  <c r="W114" i="17" s="1"/>
  <c r="X11" i="17" a="1"/>
  <c r="X11" i="17" s="1"/>
  <c r="Y11" i="17" s="1"/>
  <c r="Q11" i="17" s="1"/>
  <c r="W11" i="17" s="1"/>
  <c r="X69" i="17" a="1"/>
  <c r="X69" i="17" s="1"/>
  <c r="Y69" i="17" s="1"/>
  <c r="X70" i="17" a="1"/>
  <c r="X70" i="17" s="1"/>
  <c r="Y70" i="17" s="1"/>
  <c r="Q70" i="17" s="1"/>
  <c r="W70" i="17" s="1"/>
  <c r="X71" i="17" a="1"/>
  <c r="X71" i="17" s="1"/>
  <c r="Y71" i="17" s="1"/>
  <c r="Q71" i="17" s="1"/>
  <c r="W71" i="17" s="1"/>
  <c r="X72" i="17" a="1"/>
  <c r="X72" i="17" s="1"/>
  <c r="Y72" i="17" s="1"/>
  <c r="Q72" i="17" s="1"/>
  <c r="W72" i="17" s="1"/>
  <c r="X73" i="17" a="1"/>
  <c r="X73" i="17" s="1"/>
  <c r="Y73" i="17" s="1"/>
  <c r="Q73" i="17" s="1"/>
  <c r="W73" i="17" s="1"/>
  <c r="X74" i="17" a="1"/>
  <c r="X74" i="17"/>
  <c r="Y74" i="17" s="1"/>
  <c r="X102" i="17" a="1"/>
  <c r="X102" i="17" s="1"/>
  <c r="Y102" i="17" s="1"/>
  <c r="Q102" i="17" s="1"/>
  <c r="W102" i="17" s="1"/>
  <c r="X115" i="17" a="1"/>
  <c r="X115" i="17" s="1"/>
  <c r="Y115" i="17" s="1"/>
  <c r="Q115" i="17" s="1"/>
  <c r="W115" i="17" s="1"/>
  <c r="X12" i="17" a="1"/>
  <c r="X12" i="17" s="1"/>
  <c r="Y12" i="17" s="1"/>
  <c r="X75" i="17" a="1"/>
  <c r="X75" i="17" s="1"/>
  <c r="Y75" i="17" s="1"/>
  <c r="Q75" i="17" s="1"/>
  <c r="W75" i="17" s="1"/>
  <c r="X76" i="17" a="1"/>
  <c r="X76" i="17" s="1"/>
  <c r="Y76" i="17" s="1"/>
  <c r="X77" i="17" a="1"/>
  <c r="X77" i="17" s="1"/>
  <c r="Y77" i="17" s="1"/>
  <c r="Q77" i="17" s="1"/>
  <c r="W77" i="17" s="1"/>
  <c r="X78" i="17" a="1"/>
  <c r="X78" i="17" s="1"/>
  <c r="Y78" i="17" s="1"/>
  <c r="Q78" i="17" s="1"/>
  <c r="W78" i="17" s="1"/>
  <c r="X79" i="17" a="1"/>
  <c r="X79" i="17" s="1"/>
  <c r="Y79" i="17" s="1"/>
  <c r="X80" i="17" a="1"/>
  <c r="X80" i="17" s="1"/>
  <c r="Y80" i="17" s="1"/>
  <c r="X103" i="17" a="1"/>
  <c r="X103" i="17" s="1"/>
  <c r="Y103" i="17" s="1"/>
  <c r="Q103" i="17" s="1"/>
  <c r="W103" i="17" s="1"/>
  <c r="X116" i="17" a="1"/>
  <c r="X116" i="17" s="1"/>
  <c r="Y116" i="17" s="1"/>
  <c r="X13" i="17" a="1"/>
  <c r="X13" i="17" s="1"/>
  <c r="Y13" i="17" s="1"/>
  <c r="Q13" i="17" s="1"/>
  <c r="W13" i="17" s="1"/>
  <c r="X81" i="17" a="1"/>
  <c r="X81" i="17" s="1"/>
  <c r="Y81" i="17" s="1"/>
  <c r="X82" i="17" a="1"/>
  <c r="X82" i="17" s="1"/>
  <c r="Y82" i="17" s="1"/>
  <c r="Q82" i="17" s="1"/>
  <c r="W82" i="17" s="1"/>
  <c r="X83" i="17" a="1"/>
  <c r="X83" i="17" s="1"/>
  <c r="Y83" i="17" s="1"/>
  <c r="Q83" i="17" s="1"/>
  <c r="W83" i="17" s="1"/>
  <c r="X84" i="17" a="1"/>
  <c r="X84" i="17"/>
  <c r="Y84" i="17" s="1"/>
  <c r="X85" i="17" a="1"/>
  <c r="X85" i="17" s="1"/>
  <c r="Y85" i="17" s="1"/>
  <c r="X86" i="17" a="1"/>
  <c r="X86" i="17" s="1"/>
  <c r="Y86" i="17" s="1"/>
  <c r="Q86" i="17" s="1"/>
  <c r="W86" i="17" s="1"/>
  <c r="X104" i="17" a="1"/>
  <c r="X104" i="17" s="1"/>
  <c r="Y104" i="17" s="1"/>
  <c r="X117" i="17" a="1"/>
  <c r="X117" i="17" s="1"/>
  <c r="Y117" i="17" s="1"/>
  <c r="Q117" i="17" s="1"/>
  <c r="W117" i="17" s="1"/>
  <c r="X14" i="17" a="1"/>
  <c r="X14" i="17" s="1"/>
  <c r="Y14" i="17" s="1"/>
  <c r="X87" i="17" a="1"/>
  <c r="X87" i="17" s="1"/>
  <c r="Y87" i="17" s="1"/>
  <c r="Q87" i="17" s="1"/>
  <c r="W87" i="17" s="1"/>
  <c r="X88" i="17" a="1"/>
  <c r="X88" i="17" s="1"/>
  <c r="Y88" i="17" s="1"/>
  <c r="Q88" i="17" s="1"/>
  <c r="W88" i="17" s="1"/>
  <c r="X89" i="17" a="1"/>
  <c r="X89" i="17" s="1"/>
  <c r="Y89" i="17" s="1"/>
  <c r="Q89" i="17" s="1"/>
  <c r="W89" i="17" s="1"/>
  <c r="X90" i="17" a="1"/>
  <c r="X90" i="17" s="1"/>
  <c r="Y90" i="17" s="1"/>
  <c r="Q90" i="17" s="1"/>
  <c r="W90" i="17" s="1"/>
  <c r="X91" i="17" a="1"/>
  <c r="X91" i="17" s="1"/>
  <c r="Y91" i="17" s="1"/>
  <c r="Q91" i="17" s="1"/>
  <c r="W91" i="17" s="1"/>
  <c r="X92" i="17" a="1"/>
  <c r="X92" i="17" s="1"/>
  <c r="Y92" i="17" s="1"/>
  <c r="X105" i="17" a="1"/>
  <c r="X105" i="17" s="1"/>
  <c r="Y105" i="17" s="1"/>
  <c r="Q105" i="17" s="1"/>
  <c r="W105" i="17" s="1"/>
  <c r="X118" i="17" a="1"/>
  <c r="X118" i="17" s="1"/>
  <c r="Y118" i="17" s="1"/>
  <c r="Y2" i="17"/>
  <c r="Q2" i="17" s="1"/>
  <c r="W2" i="17" s="1"/>
  <c r="Y15" i="17"/>
  <c r="Q15" i="17" s="1"/>
  <c r="W15" i="17" s="1"/>
  <c r="Y17" i="17"/>
  <c r="Q17" i="17" s="1"/>
  <c r="W17" i="17" s="1"/>
  <c r="Y18" i="17"/>
  <c r="Y19" i="17"/>
  <c r="Q19" i="17" s="1"/>
  <c r="W19" i="17" s="1"/>
  <c r="Y20" i="17"/>
  <c r="Q20" i="17" s="1"/>
  <c r="W20" i="17" s="1"/>
  <c r="Y93" i="17"/>
  <c r="Q93" i="17" s="1"/>
  <c r="W93" i="17" s="1"/>
  <c r="Y106" i="17"/>
  <c r="Y3" i="17"/>
  <c r="Q3" i="17" s="1"/>
  <c r="W3" i="17" s="1"/>
  <c r="Y21" i="17"/>
  <c r="Q21" i="17" s="1"/>
  <c r="W21" i="17" s="1"/>
  <c r="Y22" i="17"/>
  <c r="Q22" i="17" s="1"/>
  <c r="W22" i="17" s="1"/>
  <c r="Y23" i="17"/>
  <c r="Q23" i="17" s="1"/>
  <c r="W23" i="17" s="1"/>
  <c r="Y24" i="17"/>
  <c r="Q24" i="17" s="1"/>
  <c r="W24" i="17" s="1"/>
  <c r="Y25" i="17"/>
  <c r="Q25" i="17" s="1"/>
  <c r="W25" i="17" s="1"/>
  <c r="Y26" i="17"/>
  <c r="Q26" i="17" s="1"/>
  <c r="W26" i="17" s="1"/>
  <c r="Y94" i="17"/>
  <c r="Q94" i="17" s="1"/>
  <c r="W94" i="17" s="1"/>
  <c r="Y107" i="17"/>
  <c r="Q107" i="17" s="1"/>
  <c r="W107" i="17" s="1"/>
  <c r="Y4" i="17"/>
  <c r="Y27" i="17"/>
  <c r="Q27" i="17" s="1"/>
  <c r="W27" i="17" s="1"/>
  <c r="Y28" i="17"/>
  <c r="Y29" i="17"/>
  <c r="Q29" i="17" s="1"/>
  <c r="W29" i="17" s="1"/>
  <c r="Y30" i="17"/>
  <c r="Q30" i="17" s="1"/>
  <c r="W30" i="17" s="1"/>
  <c r="Y31" i="17"/>
  <c r="Y32" i="17"/>
  <c r="Q32" i="17" s="1"/>
  <c r="W32" i="17" s="1"/>
  <c r="Y95" i="17"/>
  <c r="Q95" i="17" s="1"/>
  <c r="W95" i="17" s="1"/>
  <c r="Y108" i="17"/>
  <c r="Y5" i="17"/>
  <c r="Q5" i="17" s="1"/>
  <c r="W5" i="17" s="1"/>
  <c r="Y33" i="17"/>
  <c r="Y34" i="17"/>
  <c r="Q34" i="17" s="1"/>
  <c r="W34" i="17" s="1"/>
  <c r="Y35" i="17"/>
  <c r="Q35" i="17" s="1"/>
  <c r="W35" i="17" s="1"/>
  <c r="Y36" i="17"/>
  <c r="Y37" i="17"/>
  <c r="Y38" i="17"/>
  <c r="Q38" i="17" s="1"/>
  <c r="W38" i="17" s="1"/>
  <c r="Y96" i="17"/>
  <c r="Y109" i="17"/>
  <c r="Q109" i="17" s="1"/>
  <c r="W109" i="17" s="1"/>
  <c r="Y6" i="17"/>
  <c r="Y39" i="17"/>
  <c r="Q39" i="17" s="1"/>
  <c r="W39" i="17" s="1"/>
  <c r="Y40" i="17"/>
  <c r="Q40" i="17" s="1"/>
  <c r="W40" i="17" s="1"/>
  <c r="Y41" i="17"/>
  <c r="Y42" i="17"/>
  <c r="Q42" i="17" s="1"/>
  <c r="W42" i="17" s="1"/>
  <c r="Y43" i="17"/>
  <c r="Q43" i="17" s="1"/>
  <c r="W43" i="17" s="1"/>
  <c r="Y44" i="17"/>
  <c r="Y97" i="17"/>
  <c r="Q97" i="17" s="1"/>
  <c r="W97" i="17" s="1"/>
  <c r="Y110" i="17"/>
  <c r="Q110" i="17" s="1"/>
  <c r="W110" i="17" s="1"/>
  <c r="Y7" i="17"/>
  <c r="Q7" i="17" s="1"/>
  <c r="W7" i="17" s="1"/>
  <c r="Y45" i="17"/>
  <c r="Q45" i="17" s="1"/>
  <c r="W45" i="17" s="1"/>
  <c r="Y46" i="17"/>
  <c r="Y47" i="17"/>
  <c r="Q47" i="17" s="1"/>
  <c r="W47" i="17" s="1"/>
  <c r="Y48" i="17"/>
  <c r="Q48" i="17" s="1"/>
  <c r="W48" i="17" s="1"/>
  <c r="Y49" i="17"/>
  <c r="Q49" i="17" s="1"/>
  <c r="W49" i="17" s="1"/>
  <c r="Y50" i="17"/>
  <c r="Q50" i="17" s="1"/>
  <c r="W50" i="17" s="1"/>
  <c r="Y98" i="17"/>
  <c r="Y111" i="17"/>
  <c r="Q111" i="17" s="1"/>
  <c r="W111" i="17" s="1"/>
  <c r="Y8" i="17"/>
  <c r="Q8" i="17" s="1"/>
  <c r="W8" i="17" s="1"/>
  <c r="Y51" i="17"/>
  <c r="Y52" i="17"/>
  <c r="Q52" i="17" s="1"/>
  <c r="W52" i="17" s="1"/>
  <c r="Y53" i="17"/>
  <c r="Q53" i="17" s="1"/>
  <c r="W53" i="17" s="1"/>
  <c r="Y54" i="17"/>
  <c r="Y55" i="17"/>
  <c r="Q55" i="17" s="1"/>
  <c r="W55" i="17" s="1"/>
  <c r="Y56" i="17"/>
  <c r="Y99" i="17"/>
  <c r="Q99" i="17" s="1"/>
  <c r="W99" i="17" s="1"/>
  <c r="Y112" i="17"/>
  <c r="Q112" i="17" s="1"/>
  <c r="W112" i="17" s="1"/>
  <c r="Y9" i="17"/>
  <c r="Y58" i="17"/>
  <c r="Q58" i="17" s="1"/>
  <c r="W58" i="17" s="1"/>
  <c r="Y59" i="17"/>
  <c r="Y60" i="17"/>
  <c r="Q60" i="17" s="1"/>
  <c r="W60" i="17" s="1"/>
  <c r="Y62" i="17"/>
  <c r="Q62" i="17" s="1"/>
  <c r="W62" i="17" s="1"/>
  <c r="Y100" i="17"/>
  <c r="Q100" i="17" s="1"/>
  <c r="W100" i="17" s="1"/>
  <c r="Y113" i="17"/>
  <c r="Q113" i="17" s="1"/>
  <c r="W113" i="17" s="1"/>
  <c r="Y63" i="17"/>
  <c r="Q63" i="17" s="1"/>
  <c r="W63" i="17" s="1"/>
  <c r="Y64" i="17"/>
  <c r="Q64" i="17" s="1"/>
  <c r="W64" i="17" s="1"/>
  <c r="G2" i="16"/>
  <c r="E21" i="22"/>
  <c r="D21" i="22"/>
  <c r="J17" i="22"/>
  <c r="I17" i="22"/>
  <c r="J16" i="22"/>
  <c r="I16" i="22"/>
  <c r="E15" i="22"/>
  <c r="D15" i="22"/>
  <c r="R73" i="18" l="1"/>
  <c r="U73" i="18" s="1"/>
  <c r="U55" i="18"/>
  <c r="R55" i="18"/>
  <c r="R41" i="18"/>
  <c r="U41" i="18" s="1"/>
  <c r="R23" i="18"/>
  <c r="U23" i="18" s="1"/>
  <c r="U15" i="18"/>
  <c r="R15" i="18"/>
  <c r="R3" i="18"/>
  <c r="U3" i="18" s="1"/>
  <c r="R71" i="18"/>
  <c r="U71" i="18"/>
  <c r="R57" i="18"/>
  <c r="U57" i="18" s="1"/>
  <c r="R39" i="18"/>
  <c r="U39" i="18"/>
  <c r="R25" i="18"/>
  <c r="U25" i="18" s="1"/>
  <c r="R9" i="18"/>
  <c r="U9" i="18"/>
  <c r="R5" i="18"/>
  <c r="U5" i="18" s="1"/>
  <c r="R111" i="18"/>
  <c r="U111" i="18" s="1"/>
  <c r="R87" i="18"/>
  <c r="U87" i="18" s="1"/>
  <c r="R76" i="18"/>
  <c r="U76" i="18" s="1"/>
  <c r="R58" i="18"/>
  <c r="U58" i="18" s="1"/>
  <c r="R44" i="18"/>
  <c r="U44" i="18" s="1"/>
  <c r="R36" i="18"/>
  <c r="U36" i="18" s="1"/>
  <c r="R18" i="18"/>
  <c r="U18" i="18" s="1"/>
  <c r="R68" i="18"/>
  <c r="U68" i="18" s="1"/>
  <c r="R50" i="18"/>
  <c r="U50" i="18" s="1"/>
  <c r="R28" i="18"/>
  <c r="U28" i="18" s="1"/>
  <c r="R10" i="18"/>
  <c r="U10" i="18" s="1"/>
  <c r="R6" i="18"/>
  <c r="U6" i="18" s="1"/>
  <c r="R2" i="18"/>
  <c r="U2" i="18" s="1"/>
  <c r="R74" i="18"/>
  <c r="U74" i="18" s="1"/>
  <c r="R42" i="18"/>
  <c r="U42" i="18" s="1"/>
  <c r="R38" i="18"/>
  <c r="U38" i="18" s="1"/>
  <c r="R34" i="18"/>
  <c r="U34" i="18" s="1"/>
  <c r="R20" i="18"/>
  <c r="U20" i="18" s="1"/>
  <c r="R66" i="18"/>
  <c r="U66" i="18" s="1"/>
  <c r="R52" i="18"/>
  <c r="U52" i="18" s="1"/>
  <c r="R26" i="18"/>
  <c r="U26" i="18" s="1"/>
  <c r="R12" i="18"/>
  <c r="U12" i="18" s="1"/>
  <c r="R4" i="18"/>
  <c r="U4" i="18" s="1"/>
  <c r="Q59" i="17"/>
  <c r="W59" i="17" s="1"/>
  <c r="Q92" i="17"/>
  <c r="W92" i="17" s="1"/>
  <c r="Q14" i="17"/>
  <c r="W14" i="17" s="1"/>
  <c r="Q10" i="17"/>
  <c r="W10" i="17" s="1"/>
  <c r="N99" i="17" a="1"/>
  <c r="N99" i="17" s="1"/>
  <c r="N50" i="17" a="1"/>
  <c r="N50" i="17" s="1"/>
  <c r="N46" i="17" a="1"/>
  <c r="N46" i="17" s="1"/>
  <c r="N97" i="17" a="1"/>
  <c r="N97" i="17" s="1"/>
  <c r="N41" i="17" a="1"/>
  <c r="N41" i="17" s="1"/>
  <c r="N109" i="17" a="1"/>
  <c r="N109" i="17" s="1"/>
  <c r="N36" i="17" a="1"/>
  <c r="N36" i="17" s="1"/>
  <c r="N16" i="17" a="1"/>
  <c r="N16" i="17" s="1"/>
  <c r="N31" i="17" a="1"/>
  <c r="N31" i="17" s="1"/>
  <c r="N27" i="17" a="1"/>
  <c r="N27" i="17" s="1"/>
  <c r="N26" i="17" a="1"/>
  <c r="N26" i="17" s="1"/>
  <c r="N22" i="17" a="1"/>
  <c r="N22" i="17" s="1"/>
  <c r="N93" i="17" a="1"/>
  <c r="N93" i="17" s="1"/>
  <c r="N17" i="17" a="1"/>
  <c r="N17" i="17" s="1"/>
  <c r="N113" i="17" a="1"/>
  <c r="N113" i="17" s="1"/>
  <c r="N61" i="17" a="1"/>
  <c r="N61" i="17" s="1"/>
  <c r="N57" i="17" a="1"/>
  <c r="N57" i="17" s="1"/>
  <c r="N56" i="17" a="1"/>
  <c r="N56" i="17" s="1"/>
  <c r="N49" i="17" a="1"/>
  <c r="N49" i="17" s="1"/>
  <c r="N7" i="17" a="1"/>
  <c r="N7" i="17" s="1"/>
  <c r="N42" i="17" a="1"/>
  <c r="N42" i="17" s="1"/>
  <c r="N96" i="17" a="1"/>
  <c r="N96" i="17" s="1"/>
  <c r="N34" i="17" a="1"/>
  <c r="N34" i="17" s="1"/>
  <c r="N32" i="17" a="1"/>
  <c r="N32" i="17" s="1"/>
  <c r="N4" i="17" a="1"/>
  <c r="N4" i="17" s="1"/>
  <c r="N24" i="17" a="1"/>
  <c r="N24" i="17" s="1"/>
  <c r="N15" i="17" a="1"/>
  <c r="N15" i="17" s="1"/>
  <c r="Q56" i="17"/>
  <c r="W56" i="17" s="1"/>
  <c r="Q37" i="17"/>
  <c r="W37" i="17" s="1"/>
  <c r="Q46" i="17"/>
  <c r="W46" i="17" s="1"/>
  <c r="Q41" i="17"/>
  <c r="W41" i="17" s="1"/>
  <c r="Q80" i="17"/>
  <c r="W80" i="17" s="1"/>
  <c r="Q12" i="17"/>
  <c r="W12" i="17" s="1"/>
  <c r="N69" i="17" a="1"/>
  <c r="N69" i="17" s="1"/>
  <c r="N68" i="17" a="1"/>
  <c r="N68" i="17" s="1"/>
  <c r="N64" i="17" a="1"/>
  <c r="N64" i="17" s="1"/>
  <c r="N100" i="17" a="1"/>
  <c r="N100" i="17" s="1"/>
  <c r="N9" i="17" a="1"/>
  <c r="N9" i="17" s="1"/>
  <c r="N8" i="17" a="1"/>
  <c r="N8" i="17" s="1"/>
  <c r="N48" i="17" a="1"/>
  <c r="N48" i="17" s="1"/>
  <c r="N110" i="17" a="1"/>
  <c r="N110" i="17" s="1"/>
  <c r="N40" i="17" a="1"/>
  <c r="N40" i="17" s="1"/>
  <c r="N38" i="17" a="1"/>
  <c r="N38" i="17" s="1"/>
  <c r="N33" i="17" a="1"/>
  <c r="N33" i="17" s="1"/>
  <c r="N30" i="17" a="1"/>
  <c r="N30" i="17" s="1"/>
  <c r="N107" i="17" a="1"/>
  <c r="N107" i="17" s="1"/>
  <c r="N23" i="17" a="1"/>
  <c r="N23" i="17" s="1"/>
  <c r="Q33" i="17"/>
  <c r="W33" i="17" s="1"/>
  <c r="Q18" i="17"/>
  <c r="W18" i="17" s="1"/>
  <c r="Q84" i="17"/>
  <c r="W84" i="17" s="1"/>
  <c r="Q96" i="17"/>
  <c r="W96" i="17" s="1"/>
  <c r="Q108" i="17"/>
  <c r="W108" i="17" s="1"/>
  <c r="N63" i="17" a="1"/>
  <c r="N63" i="17" s="1"/>
  <c r="N59" i="17" a="1"/>
  <c r="N59" i="17" s="1"/>
  <c r="N53" i="17" a="1"/>
  <c r="N53" i="17" s="1"/>
  <c r="N111" i="17" a="1"/>
  <c r="N111" i="17" s="1"/>
  <c r="N47" i="17" a="1"/>
  <c r="N47" i="17" s="1"/>
  <c r="N44" i="17" a="1"/>
  <c r="N44" i="17" s="1"/>
  <c r="N39" i="17" a="1"/>
  <c r="N39" i="17" s="1"/>
  <c r="N37" i="17" a="1"/>
  <c r="N37" i="17" s="1"/>
  <c r="N108" i="17" a="1"/>
  <c r="N108" i="17" s="1"/>
  <c r="N29" i="17" a="1"/>
  <c r="N29" i="17" s="1"/>
  <c r="N94" i="17" a="1"/>
  <c r="N94" i="17" s="1"/>
  <c r="N3" i="17" a="1"/>
  <c r="N3" i="17" s="1"/>
  <c r="Q85" i="17"/>
  <c r="W85" i="17" s="1"/>
  <c r="Q6" i="17"/>
  <c r="W6" i="17" s="1"/>
  <c r="Q104" i="17"/>
  <c r="W104" i="17" s="1"/>
  <c r="Q116" i="17"/>
  <c r="W116" i="17" s="1"/>
  <c r="Q74" i="17"/>
  <c r="W74" i="17" s="1"/>
  <c r="Q69" i="17"/>
  <c r="W69" i="17" s="1"/>
  <c r="N106" i="17" a="1"/>
  <c r="N106" i="17" s="1"/>
  <c r="N18" i="17" a="1"/>
  <c r="N18" i="17" s="1"/>
  <c r="N2" i="17" a="1"/>
  <c r="N2" i="17" s="1"/>
  <c r="Q98" i="17"/>
  <c r="W98" i="17" s="1"/>
  <c r="Q28" i="17"/>
  <c r="W28" i="17" s="1"/>
  <c r="Q106" i="17"/>
  <c r="W106" i="17" s="1"/>
  <c r="Q79" i="17"/>
  <c r="W79" i="17" s="1"/>
  <c r="Q9" i="17"/>
  <c r="W9" i="17" s="1"/>
  <c r="Q51" i="17"/>
  <c r="W51" i="17" s="1"/>
  <c r="Q36" i="17"/>
  <c r="W36" i="17" s="1"/>
  <c r="Q31" i="17"/>
  <c r="W31" i="17" s="1"/>
  <c r="Q118" i="17"/>
  <c r="W118" i="17" s="1"/>
  <c r="Q81" i="17"/>
  <c r="W81" i="17" s="1"/>
  <c r="Q76" i="17"/>
  <c r="W76" i="17" s="1"/>
  <c r="Q66" i="17"/>
  <c r="W66" i="17" s="1"/>
  <c r="N54" i="17" a="1"/>
  <c r="N54" i="17" s="1"/>
  <c r="N5" i="17" a="1"/>
  <c r="N5" i="17" s="1"/>
  <c r="Q54" i="17"/>
  <c r="W54" i="17" s="1"/>
  <c r="Q44" i="17"/>
  <c r="W44" i="17" s="1"/>
  <c r="Q4" i="17"/>
  <c r="W4" i="17" s="1"/>
  <c r="Q16" i="17"/>
  <c r="W16" i="17" s="1"/>
  <c r="Q57" i="17"/>
  <c r="W57" i="17" s="1"/>
  <c r="N21" i="17" a="1"/>
  <c r="N21" i="17" s="1"/>
  <c r="N20" i="17" a="1"/>
  <c r="N2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20 items logitud de replicacion\itemslongituderepliacione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<sst xmlns="http://schemas.openxmlformats.org/spreadsheetml/2006/main" count="1938" uniqueCount="119">
  <si>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</si>
  <si>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</si>
  <si>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</si>
  <si>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</si>
  <si>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</si>
  <si>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</si>
  <si>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</si>
  <si>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</si>
  <si>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</si>
  <si>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</si>
  <si>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</si>
  <si>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</si>
  <si>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</si>
  <si>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</si>
  <si>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</si>
  <si>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</si>
  <si>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</si>
  <si>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</si>
  <si>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</si>
  <si>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</si>
  <si>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</si>
  <si>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</si>
  <si>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</si>
  <si>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</si>
  <si>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</si>
  <si>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</si>
  <si>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</si>
  <si>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</si>
  <si>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</si>
  <si>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</si>
  <si>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</si>
  <si>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</si>
  <si>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</si>
  <si>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</si>
  <si>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</si>
  <si>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</si>
  <si>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</si>
  <si>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</si>
  <si>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</si>
  <si>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</si>
  <si>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</si>
  <si>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</si>
  <si>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</si>
  <si>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</si>
  <si>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</si>
  <si>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</si>
  <si>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</si>
  <si>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</si>
  <si>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</si>
  <si>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</si>
  <si>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</si>
  <si>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</si>
  <si>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</si>
  <si>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</si>
  <si>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</si>
  <si>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</si>
  <si>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</si>
  <si>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</si>
  <si>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</si>
  <si>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</si>
  <si>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</si>
  <si>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</si>
  <si>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</si>
  <si>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</si>
  <si>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</si>
  <si>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</si>
  <si>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</si>
  <si>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</si>
  <si>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</si>
  <si>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C:\Users\nesto\OneDrive - Universidad de la Sabana\Universidad\2025-1\Simulación\Puntos del taller\420 items Logitud de Replicacion\ItemsLongituderepliaciones.p</t>
  </si>
  <si>
    <t>Fresadora.Queue</t>
  </si>
  <si>
    <t>Waiting Time</t>
  </si>
  <si>
    <t>Queue</t>
  </si>
  <si>
    <t>Items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</si>
  <si>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</si>
  <si>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</si>
  <si>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</si>
  <si>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</si>
  <si>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</si>
  <si>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</si>
  <si>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</si>
  <si>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Sistema</t>
  </si>
  <si>
    <t>Expression</t>
  </si>
  <si>
    <t>User Specified</t>
  </si>
  <si>
    <t>Taladro.Queue</t>
  </si>
  <si>
    <t>Number Waiting</t>
  </si>
  <si>
    <t>WIP</t>
  </si>
  <si>
    <t>TrabajadoresWip</t>
  </si>
  <si>
    <t>Time Persistent</t>
  </si>
  <si>
    <t>rFresadora</t>
  </si>
  <si>
    <t>Instantaneous Utilization</t>
  </si>
  <si>
    <t>Resource</t>
  </si>
  <si>
    <t>Number Busy</t>
  </si>
  <si>
    <t>Number Scheduled</t>
  </si>
  <si>
    <t>rTaladro</t>
  </si>
  <si>
    <t>Items.NumberIn</t>
  </si>
  <si>
    <t>Number In</t>
  </si>
  <si>
    <t>Items.NumberOut</t>
  </si>
  <si>
    <t>Number Out</t>
  </si>
  <si>
    <t>System.NumberOut</t>
  </si>
  <si>
    <t>System</t>
  </si>
  <si>
    <t>rFresadora.NumberSeized</t>
  </si>
  <si>
    <t>Total Number Seized</t>
  </si>
  <si>
    <t>rFresadora.ScheduledUtilization</t>
  </si>
  <si>
    <t>Scheduled Utilization</t>
  </si>
  <si>
    <t>rTaladro.NumberSeized</t>
  </si>
  <si>
    <t>rTaladro.ScheduledUtilization</t>
  </si>
  <si>
    <t>2025-05-22 02:19:27</t>
  </si>
  <si>
    <t>número promedio de trabajos pendientes</t>
  </si>
  <si>
    <r>
      <t xml:space="preserve">La </t>
    </r>
    <r>
      <rPr>
        <b/>
        <sz val="11"/>
        <color theme="1"/>
        <rFont val="Calibri"/>
        <family val="2"/>
        <scheme val="minor"/>
      </rPr>
      <t>longitud de la réplica</t>
    </r>
  </si>
  <si>
    <t>8 Horas</t>
  </si>
  <si>
    <r>
      <t xml:space="preserve">El </t>
    </r>
    <r>
      <rPr>
        <b/>
        <sz val="11"/>
        <color theme="1"/>
        <rFont val="Calibri"/>
        <family val="2"/>
        <scheme val="minor"/>
      </rPr>
      <t>número de réplicas necesarias</t>
    </r>
  </si>
  <si>
    <r>
      <t xml:space="preserve">La </t>
    </r>
    <r>
      <rPr>
        <b/>
        <sz val="11"/>
        <color theme="1"/>
        <rFont val="Calibri"/>
        <family val="2"/>
        <scheme val="minor"/>
      </rPr>
      <t>utilización</t>
    </r>
    <r>
      <rPr>
        <sz val="11"/>
        <color theme="1"/>
        <rFont val="Calibri"/>
        <family val="2"/>
        <scheme val="minor"/>
      </rPr>
      <t xml:space="preserve"> de la prensa de taladrado y de las fresadoras,</t>
    </r>
  </si>
  <si>
    <t>Recurso</t>
  </si>
  <si>
    <t>Li</t>
  </si>
  <si>
    <t>LS</t>
  </si>
  <si>
    <t>Taladro</t>
  </si>
  <si>
    <t>Fresadora</t>
  </si>
  <si>
    <r>
      <t xml:space="preserve">El </t>
    </r>
    <r>
      <rPr>
        <b/>
        <sz val="11"/>
        <color theme="1"/>
        <rFont val="Calibri"/>
        <family val="2"/>
        <scheme val="minor"/>
      </rPr>
      <t>tiempo promedio que un ítem pasa en el sistema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</si>
</sst>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0" borderId="1" xfId="0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68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96990740742" createdVersion="7" refreshedVersion="8" minRefreshableVersion="3" recordCount="13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3"/>
    </cacheField>
    <cacheField name="Name" numFmtId="0">
      <sharedItems containsBlank="1" count="130">
        <s v="Fresadora.Queue"/>
        <s v="Items"/>
        <s v="Taladro.Queue"/>
        <s v="TrabajadoresWip"/>
        <s v="rFresadora"/>
        <s v="rTaladr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Number Waiting"/>
        <s v="WIP"/>
        <s v="Time Persistent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User Specified"/>
        <s v="Resource"/>
        <m u="1"/>
      </sharedItems>
    </cacheField>
    <cacheField name="Average" numFmtId="0">
      <sharedItems containsSemiMixedTypes="0" containsString="0" containsNumber="1" minValue="0.105150492315538" maxValue="17.793092708137898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39"/>
    </cacheField>
    <cacheField name="LastRecordedValue" numFmtId="0">
      <sharedItems containsSemiMixedTypes="0" containsString="0" containsNumber="1" containsInteger="1" minValue="0" maxValue="26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3" maxValue="13"/>
    </cacheField>
    <cacheField name="AverageOfAverage" numFmtId="0">
      <sharedItems containsSemiMixedTypes="0" containsString="0" containsNumber="1" minValue="0.28215676683758301" maxValue="5.9883645316398173"/>
    </cacheField>
    <cacheField name="StDevOfAverage" numFmtId="0">
      <sharedItems containsSemiMixedTypes="0" containsString="0" containsNumber="1" minValue="0" maxValue="4.920029548197220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9731441000168419"/>
    </cacheField>
    <cacheField name="MinimumAverage" numFmtId="0">
      <sharedItems containsSemiMixedTypes="0" containsString="0" containsNumber="1" minValue="0.105150492315538" maxValue="2"/>
    </cacheField>
    <cacheField name="MaximumAverage" numFmtId="0">
      <sharedItems containsSemiMixedTypes="0" containsString="0" containsNumber="1" minValue="0.53316656156980802" maxValue="17.793092708137898"/>
    </cacheField>
    <cacheField name="SummaryHalfWidth" numFmtId="0">
      <sharedItems containsSemiMixedTypes="0" containsString="0" containsNumber="1" minValue="0" maxValue="2.97314410001684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9699085648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96991087965" createdVersion="7" refreshedVersion="8" minRefreshableVersion="3" recordCount="117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3"/>
    </cacheField>
    <cacheField name="Name" numFmtId="0">
      <sharedItems containsBlank="1" count="103">
        <s v="Fresadora.Queue"/>
        <s v="Items"/>
        <s v="Sistema"/>
        <s v="Taladr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Waiting Time"/>
        <s v="NVA Time"/>
        <s v="Other Time"/>
        <s v="Total Time"/>
        <s v="Transfer Time"/>
        <s v="VA Time"/>
        <s v="Wait Time"/>
        <s v="Expression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142.34474166510299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24.224341691845702"/>
    </cacheField>
    <cacheField name="Maximum" numFmtId="0">
      <sharedItems containsSemiMixedTypes="0" containsString="0" containsNumber="1" minValue="0" maxValue="325.009989822124"/>
    </cacheField>
    <cacheField name="NumberObservations" numFmtId="0">
      <sharedItems containsSemiMixedTypes="0" containsString="0" containsNumber="1" containsInteger="1" minValue="4" maxValue="60"/>
    </cacheField>
    <cacheField name="GroupByKey" numFmtId="0">
      <sharedItems/>
    </cacheField>
    <cacheField name="RepsRequested" numFmtId="0">
      <sharedItems containsSemiMixedTypes="0" containsString="0" containsNumber="1" containsInteger="1" minValue="13" maxValue="13"/>
    </cacheField>
    <cacheField name="AverageOfAverage" numFmtId="0">
      <sharedItems containsSemiMixedTypes="0" containsString="0" containsNumber="1" minValue="0" maxValue="70.99858296109538"/>
    </cacheField>
    <cacheField name="StDevOfAverage" numFmtId="0">
      <sharedItems containsSemiMixedTypes="0" containsString="0" containsNumber="1" minValue="0" maxValue="29.68694060655040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7.939638664214318"/>
    </cacheField>
    <cacheField name="MinimumAverage" numFmtId="0">
      <sharedItems containsSemiMixedTypes="0" containsString="0" containsNumber="1" minValue="0" maxValue="36.715936903477598"/>
    </cacheField>
    <cacheField name="MaximumAverage" numFmtId="0">
      <sharedItems containsSemiMixedTypes="0" containsString="0" containsNumber="1" minValue="0" maxValue="142.34474166510299"/>
    </cacheField>
    <cacheField name="OverallMinimum" numFmtId="0">
      <sharedItems containsSemiMixedTypes="0" containsString="0" containsNumber="1" minValue="0" maxValue="4.9607846640384402E-2"/>
    </cacheField>
    <cacheField name="OverallMaximum" numFmtId="0">
      <sharedItems containsSemiMixedTypes="0" containsString="0" containsNumber="1" minValue="0" maxValue="325.009989822124"/>
    </cacheField>
    <cacheField name="AverageNumberObservations" numFmtId="0">
      <sharedItems containsSemiMixedTypes="0" containsString="0" containsNumber="1" minValue="11.153846153846153" maxValue="32.692307692307693"/>
    </cacheField>
    <cacheField name="SummaryHalfWidth" numFmtId="0">
      <sharedItems containsSemiMixedTypes="0" containsString="0" containsNumber="1" minValue="0" maxValue="17.939638664214318"/>
    </cacheField>
    <cacheField name="RepsWithStatObserved" numFmtId="0">
      <sharedItems containsSemiMixedTypes="0" containsString="0" containsNumber="1" containsInteger="1" minValue="13" maxValue="13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96991203704" createdVersion="7" refreshedVersion="8" minRefreshableVersion="3" recordCount="9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3"/>
    </cacheField>
    <cacheField name="Name" numFmtId="0">
      <sharedItems containsBlank="1" count="85">
        <s v="Items.NumberIn"/>
        <s v="Items.NumberOut"/>
        <s v="System.NumberOut"/>
        <s v="rFresadora.NumberSeized"/>
        <s v="rFresadora.ScheduledUtilization"/>
        <s v="rTaladro.NumberSeized"/>
        <s v="rTaladro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System"/>
        <s v="Resource"/>
        <m u="1"/>
        <s v="Process" u="1"/>
      </sharedItems>
    </cacheField>
    <cacheField name="RecordedValue" numFmtId="0">
      <sharedItems containsSemiMixedTypes="0" containsString="0" containsNumber="1" minValue="0.105150492315538" maxValue="7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3" maxValue="13"/>
    </cacheField>
    <cacheField name="Average" numFmtId="0">
      <sharedItems containsSemiMixedTypes="0" containsString="0" containsNumber="1" minValue="0.28215676683758301" maxValue="38.46153846153846"/>
    </cacheField>
    <cacheField name="StandardDeviation" numFmtId="0">
      <sharedItems containsSemiMixedTypes="0" containsString="0" containsNumber="1" minValue="0.13987907795908774" maxValue="21.54303980645638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8.4528080832815961E-2" maxValue="13.01832866440059"/>
    </cacheField>
    <cacheField name="Minimum" numFmtId="0">
      <sharedItems containsSemiMixedTypes="0" containsString="0" containsNumber="1" minValue="0.105150492315538" maxValue="10"/>
    </cacheField>
    <cacheField name="Maximum" numFmtId="0">
      <sharedItems containsSemiMixedTypes="0" containsString="0" containsNumber="1" minValue="0.53316656156980802" maxValue="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9.096991435188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s v="2025-05-22 02:19:27"/>
    <n v="1"/>
    <x v="0"/>
    <x v="0"/>
    <x v="0"/>
    <n v="6.9795384532070104"/>
    <n v="2E+20"/>
    <n v="0"/>
    <n v="21"/>
    <n v="2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1"/>
    <x v="1"/>
    <x v="1"/>
    <x v="1"/>
    <n v="9.6117907255726696"/>
    <n v="2E+20"/>
    <n v="0"/>
    <n v="26"/>
    <n v="5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"/>
    <x v="2"/>
    <x v="0"/>
    <x v="0"/>
    <n v="0.66589816698280302"/>
    <n v="2E+20"/>
    <n v="0"/>
    <n v="4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1"/>
    <x v="3"/>
    <x v="2"/>
    <x v="2"/>
    <n v="9.6117907255726696"/>
    <n v="2E+20"/>
    <n v="0"/>
    <n v="26"/>
    <n v="5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"/>
    <x v="4"/>
    <x v="3"/>
    <x v="3"/>
    <n v="0.78540458648547895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1"/>
    <x v="4"/>
    <x v="4"/>
    <x v="3"/>
    <n v="1.5708091729709599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1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1"/>
    <x v="5"/>
    <x v="3"/>
    <x v="3"/>
    <n v="0.39554493241189598"/>
    <n v="2E+20"/>
    <n v="0"/>
    <n v="1"/>
    <n v="1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"/>
    <x v="5"/>
    <x v="4"/>
    <x v="3"/>
    <n v="0.39554493241189598"/>
    <n v="2E+20"/>
    <n v="0"/>
    <n v="1"/>
    <n v="1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2"/>
    <x v="0"/>
    <x v="0"/>
    <x v="0"/>
    <n v="1.5986924814043899"/>
    <n v="2E+20"/>
    <n v="0"/>
    <n v="6"/>
    <n v="3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2"/>
    <x v="1"/>
    <x v="1"/>
    <x v="1"/>
    <n v="3.4601333473986902"/>
    <n v="2E+20"/>
    <n v="0"/>
    <n v="10"/>
    <n v="5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2"/>
    <x v="2"/>
    <x v="0"/>
    <x v="0"/>
    <n v="0.39845787864920301"/>
    <n v="2E+20"/>
    <n v="0"/>
    <n v="3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2"/>
    <x v="3"/>
    <x v="2"/>
    <x v="2"/>
    <n v="3.4601333473986902"/>
    <n v="2E+20"/>
    <n v="0"/>
    <n v="10"/>
    <n v="5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2"/>
    <x v="4"/>
    <x v="3"/>
    <x v="3"/>
    <n v="0.56306843005182206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2"/>
    <x v="4"/>
    <x v="4"/>
    <x v="3"/>
    <n v="1.1261368601036399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2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2"/>
    <x v="5"/>
    <x v="3"/>
    <x v="3"/>
    <n v="0.33684612724144403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2"/>
    <x v="5"/>
    <x v="4"/>
    <x v="3"/>
    <n v="0.33684612724144403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2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3"/>
    <x v="0"/>
    <x v="0"/>
    <x v="0"/>
    <n v="14.2341958459241"/>
    <n v="2E+20"/>
    <n v="0"/>
    <n v="28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3"/>
    <x v="1"/>
    <x v="1"/>
    <x v="1"/>
    <n v="17.793092708137898"/>
    <n v="2E+20"/>
    <n v="0"/>
    <n v="39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3"/>
    <x v="2"/>
    <x v="0"/>
    <x v="0"/>
    <n v="1.3814350997842499"/>
    <n v="2E+20"/>
    <n v="0"/>
    <n v="9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3"/>
    <x v="3"/>
    <x v="2"/>
    <x v="2"/>
    <n v="17.793092708137898"/>
    <n v="2E+20"/>
    <n v="0"/>
    <n v="39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3"/>
    <x v="4"/>
    <x v="3"/>
    <x v="3"/>
    <n v="0.87909786633303799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3"/>
    <x v="4"/>
    <x v="4"/>
    <x v="3"/>
    <n v="1.75819573266608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3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3"/>
    <x v="5"/>
    <x v="3"/>
    <x v="3"/>
    <n v="0.419266029763466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3"/>
    <x v="5"/>
    <x v="4"/>
    <x v="3"/>
    <n v="0.419266029763466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3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4"/>
    <x v="0"/>
    <x v="0"/>
    <x v="0"/>
    <n v="0.55913492755268002"/>
    <n v="2E+20"/>
    <n v="0"/>
    <n v="5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4"/>
    <x v="1"/>
    <x v="1"/>
    <x v="1"/>
    <n v="1.25195701101358"/>
    <n v="2E+20"/>
    <n v="0"/>
    <n v="10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4"/>
    <x v="2"/>
    <x v="0"/>
    <x v="0"/>
    <n v="0.17513209141385899"/>
    <n v="2E+20"/>
    <n v="0"/>
    <n v="3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4"/>
    <x v="3"/>
    <x v="2"/>
    <x v="2"/>
    <n v="1.25195701101358"/>
    <n v="2E+20"/>
    <n v="0"/>
    <n v="10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4"/>
    <x v="4"/>
    <x v="3"/>
    <x v="3"/>
    <n v="0.20626974986575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4"/>
    <x v="4"/>
    <x v="4"/>
    <x v="3"/>
    <n v="0.4125394997315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4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4"/>
    <x v="5"/>
    <x v="3"/>
    <x v="3"/>
    <n v="0.105150492315538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4"/>
    <x v="5"/>
    <x v="4"/>
    <x v="3"/>
    <n v="0.105150492315538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4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5"/>
    <x v="0"/>
    <x v="0"/>
    <x v="0"/>
    <n v="0.31227659963729298"/>
    <n v="2E+20"/>
    <n v="0"/>
    <n v="4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5"/>
    <x v="1"/>
    <x v="1"/>
    <x v="1"/>
    <n v="1.0207720869941199"/>
    <n v="2E+20"/>
    <n v="0"/>
    <n v="10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5"/>
    <x v="2"/>
    <x v="0"/>
    <x v="0"/>
    <n v="0.24823735946516401"/>
    <n v="2E+20"/>
    <n v="0"/>
    <n v="4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5"/>
    <x v="3"/>
    <x v="2"/>
    <x v="2"/>
    <n v="1.0207720869941199"/>
    <n v="2E+20"/>
    <n v="0"/>
    <n v="10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5"/>
    <x v="4"/>
    <x v="3"/>
    <x v="3"/>
    <n v="0.16923556352618799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5"/>
    <x v="4"/>
    <x v="4"/>
    <x v="3"/>
    <n v="0.33847112705237498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5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5"/>
    <x v="5"/>
    <x v="3"/>
    <x v="3"/>
    <n v="0.121787000839284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5"/>
    <x v="5"/>
    <x v="4"/>
    <x v="3"/>
    <n v="0.121787000839284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5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6"/>
    <x v="0"/>
    <x v="0"/>
    <x v="0"/>
    <n v="5.6587841463609703"/>
    <n v="2E+20"/>
    <n v="0"/>
    <n v="17"/>
    <n v="12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6"/>
    <x v="1"/>
    <x v="1"/>
    <x v="1"/>
    <n v="7.5017184439679303"/>
    <n v="2E+20"/>
    <n v="0"/>
    <n v="20"/>
    <n v="16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6"/>
    <x v="2"/>
    <x v="0"/>
    <x v="0"/>
    <n v="0.17373684299685899"/>
    <n v="2E+20"/>
    <n v="0"/>
    <n v="2"/>
    <n v="1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6"/>
    <x v="3"/>
    <x v="2"/>
    <x v="2"/>
    <n v="7.5017184439679303"/>
    <n v="2E+20"/>
    <n v="0"/>
    <n v="20"/>
    <n v="16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6"/>
    <x v="4"/>
    <x v="3"/>
    <x v="3"/>
    <n v="0.721319861491027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6"/>
    <x v="4"/>
    <x v="4"/>
    <x v="3"/>
    <n v="1.44263972298205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6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6"/>
    <x v="5"/>
    <x v="3"/>
    <x v="3"/>
    <n v="0.22655773162805501"/>
    <n v="2E+20"/>
    <n v="0"/>
    <n v="1"/>
    <n v="1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6"/>
    <x v="5"/>
    <x v="4"/>
    <x v="3"/>
    <n v="0.22655773162805501"/>
    <n v="2E+20"/>
    <n v="0"/>
    <n v="1"/>
    <n v="1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6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7"/>
    <x v="0"/>
    <x v="0"/>
    <x v="0"/>
    <n v="1.6324756388762101"/>
    <n v="2E+20"/>
    <n v="0"/>
    <n v="7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7"/>
    <x v="1"/>
    <x v="1"/>
    <x v="1"/>
    <n v="2.8506422102136302"/>
    <n v="2E+20"/>
    <n v="0"/>
    <n v="10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7"/>
    <x v="2"/>
    <x v="0"/>
    <x v="0"/>
    <n v="0.192983261600642"/>
    <n v="2E+20"/>
    <n v="0"/>
    <n v="3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7"/>
    <x v="3"/>
    <x v="2"/>
    <x v="2"/>
    <n v="2.8506422102136302"/>
    <n v="2E+20"/>
    <n v="0"/>
    <n v="10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7"/>
    <x v="4"/>
    <x v="3"/>
    <x v="3"/>
    <n v="0.42713655672003298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7"/>
    <x v="4"/>
    <x v="4"/>
    <x v="3"/>
    <n v="0.85427311344006596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7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7"/>
    <x v="5"/>
    <x v="3"/>
    <x v="3"/>
    <n v="0.170910196296711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7"/>
    <x v="5"/>
    <x v="4"/>
    <x v="3"/>
    <n v="0.170910196296711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7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8"/>
    <x v="0"/>
    <x v="0"/>
    <x v="0"/>
    <n v="7.7751911030232304"/>
    <n v="2E+20"/>
    <n v="0"/>
    <n v="20"/>
    <n v="6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8"/>
    <x v="1"/>
    <x v="1"/>
    <x v="1"/>
    <n v="10.381998499495699"/>
    <n v="2E+20"/>
    <n v="0"/>
    <n v="26"/>
    <n v="1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8"/>
    <x v="2"/>
    <x v="0"/>
    <x v="0"/>
    <n v="0.46862858971951898"/>
    <n v="2E+20"/>
    <n v="0"/>
    <n v="5"/>
    <n v="1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8"/>
    <x v="3"/>
    <x v="2"/>
    <x v="2"/>
    <n v="10.381998499495699"/>
    <n v="2E+20"/>
    <n v="0"/>
    <n v="26"/>
    <n v="1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8"/>
    <x v="4"/>
    <x v="3"/>
    <x v="3"/>
    <n v="0.91769977116840795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8"/>
    <x v="4"/>
    <x v="4"/>
    <x v="3"/>
    <n v="1.8353995423368199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8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8"/>
    <x v="5"/>
    <x v="3"/>
    <x v="3"/>
    <n v="0.30277926441613101"/>
    <n v="2E+20"/>
    <n v="0"/>
    <n v="1"/>
    <n v="1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8"/>
    <x v="5"/>
    <x v="4"/>
    <x v="3"/>
    <n v="0.30277926441613101"/>
    <n v="2E+20"/>
    <n v="0"/>
    <n v="1"/>
    <n v="1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8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9"/>
    <x v="0"/>
    <x v="0"/>
    <x v="0"/>
    <n v="0.215794703892706"/>
    <n v="2E+20"/>
    <n v="0"/>
    <n v="4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9"/>
    <x v="1"/>
    <x v="1"/>
    <x v="1"/>
    <n v="0.76491535215578299"/>
    <n v="2E+20"/>
    <n v="0"/>
    <n v="10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9"/>
    <x v="2"/>
    <x v="0"/>
    <x v="0"/>
    <n v="0.15018418068283401"/>
    <n v="2E+20"/>
    <n v="0"/>
    <n v="3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9"/>
    <x v="3"/>
    <x v="2"/>
    <x v="2"/>
    <n v="0.76491535215578299"/>
    <n v="2E+20"/>
    <n v="0"/>
    <n v="10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9"/>
    <x v="4"/>
    <x v="3"/>
    <x v="3"/>
    <n v="0.146598355861076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9"/>
    <x v="4"/>
    <x v="4"/>
    <x v="3"/>
    <n v="0.293196711722152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9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9"/>
    <x v="5"/>
    <x v="3"/>
    <x v="3"/>
    <n v="0.10573975585809101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9"/>
    <x v="5"/>
    <x v="4"/>
    <x v="3"/>
    <n v="0.10573975585809101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9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10"/>
    <x v="0"/>
    <x v="0"/>
    <x v="0"/>
    <n v="6.6820435618287997"/>
    <n v="2E+20"/>
    <n v="0"/>
    <n v="25"/>
    <n v="22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10"/>
    <x v="1"/>
    <x v="1"/>
    <x v="1"/>
    <n v="10.1506727122774"/>
    <n v="2E+20"/>
    <n v="0"/>
    <n v="33"/>
    <n v="26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0"/>
    <x v="2"/>
    <x v="0"/>
    <x v="0"/>
    <n v="1.4695242868288101"/>
    <n v="2E+20"/>
    <n v="0"/>
    <n v="7"/>
    <n v="1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10"/>
    <x v="3"/>
    <x v="2"/>
    <x v="2"/>
    <n v="10.1506727122774"/>
    <n v="2E+20"/>
    <n v="0"/>
    <n v="33"/>
    <n v="26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0"/>
    <x v="4"/>
    <x v="3"/>
    <x v="3"/>
    <n v="0.73296915102496596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10"/>
    <x v="4"/>
    <x v="4"/>
    <x v="3"/>
    <n v="1.4659383020499299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10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10"/>
    <x v="5"/>
    <x v="3"/>
    <x v="3"/>
    <n v="0.53316656156980802"/>
    <n v="2E+20"/>
    <n v="0"/>
    <n v="1"/>
    <n v="1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0"/>
    <x v="5"/>
    <x v="4"/>
    <x v="3"/>
    <n v="0.53316656156980802"/>
    <n v="2E+20"/>
    <n v="0"/>
    <n v="1"/>
    <n v="1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0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11"/>
    <x v="0"/>
    <x v="0"/>
    <x v="0"/>
    <n v="1.38327945649388"/>
    <n v="2E+20"/>
    <n v="0"/>
    <n v="19"/>
    <n v="17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11"/>
    <x v="1"/>
    <x v="1"/>
    <x v="1"/>
    <n v="4.0123833867776604"/>
    <n v="2E+20"/>
    <n v="0"/>
    <n v="28"/>
    <n v="25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1"/>
    <x v="2"/>
    <x v="0"/>
    <x v="0"/>
    <n v="1.2040270691227399"/>
    <n v="2E+20"/>
    <n v="0"/>
    <n v="7"/>
    <n v="5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11"/>
    <x v="3"/>
    <x v="2"/>
    <x v="2"/>
    <n v="4.0123833867776604"/>
    <n v="2E+20"/>
    <n v="0"/>
    <n v="28"/>
    <n v="25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1"/>
    <x v="4"/>
    <x v="3"/>
    <x v="3"/>
    <n v="0.50974282027381601"/>
    <n v="2E+20"/>
    <n v="0"/>
    <n v="1"/>
    <n v="1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11"/>
    <x v="4"/>
    <x v="4"/>
    <x v="3"/>
    <n v="1.01948564054763"/>
    <n v="2E+20"/>
    <n v="0"/>
    <n v="2"/>
    <n v="2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11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11"/>
    <x v="5"/>
    <x v="3"/>
    <x v="3"/>
    <n v="0.40559122061339797"/>
    <n v="2E+20"/>
    <n v="0"/>
    <n v="1"/>
    <n v="1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1"/>
    <x v="5"/>
    <x v="4"/>
    <x v="3"/>
    <n v="0.40559122061339797"/>
    <n v="2E+20"/>
    <n v="0"/>
    <n v="1"/>
    <n v="1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1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12"/>
    <x v="0"/>
    <x v="0"/>
    <x v="0"/>
    <n v="2.9035107625577798"/>
    <n v="2E+20"/>
    <n v="0"/>
    <n v="14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12"/>
    <x v="1"/>
    <x v="1"/>
    <x v="1"/>
    <n v="4.1659317529046698"/>
    <n v="2E+20"/>
    <n v="0"/>
    <n v="16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2"/>
    <x v="2"/>
    <x v="0"/>
    <x v="0"/>
    <n v="0.131443895620979"/>
    <n v="2E+20"/>
    <n v="0"/>
    <n v="2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12"/>
    <x v="3"/>
    <x v="2"/>
    <x v="2"/>
    <n v="4.1659317529046698"/>
    <n v="2E+20"/>
    <n v="0"/>
    <n v="16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2"/>
    <x v="4"/>
    <x v="3"/>
    <x v="3"/>
    <n v="0.47628167505669899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12"/>
    <x v="4"/>
    <x v="4"/>
    <x v="3"/>
    <n v="0.95256335011339699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12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12"/>
    <x v="5"/>
    <x v="3"/>
    <x v="3"/>
    <n v="0.178413744612513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2"/>
    <x v="5"/>
    <x v="4"/>
    <x v="3"/>
    <n v="0.178413744612513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2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  <r>
    <x v="0"/>
    <s v="2025-05-22 02:19:27"/>
    <n v="13"/>
    <x v="0"/>
    <x v="0"/>
    <x v="0"/>
    <n v="2.5891593014637202"/>
    <n v="2E+20"/>
    <n v="0"/>
    <n v="8"/>
    <n v="0"/>
    <n v="0"/>
    <s v="Unnamed ProjectFresadora.QueueNumber WaitingQueue"/>
    <n v="13"/>
    <n v="4.0403136140171361"/>
    <n v="4.0718830504644874"/>
    <n v="0.95"/>
    <n v="2.4606143009614683"/>
    <n v="0.215794703892706"/>
    <n v="14.2341958459241"/>
    <n v="2.4606143009614683"/>
  </r>
  <r>
    <x v="0"/>
    <s v="2025-05-22 02:19:27"/>
    <n v="13"/>
    <x v="1"/>
    <x v="1"/>
    <x v="1"/>
    <n v="4.88273067440789"/>
    <n v="2E+20"/>
    <n v="0"/>
    <n v="14"/>
    <n v="0"/>
    <n v="0"/>
    <s v="Unnamed ProjectItemsWIPEntity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3"/>
    <x v="2"/>
    <x v="0"/>
    <x v="0"/>
    <n v="0.67542647827396496"/>
    <n v="2E+20"/>
    <n v="0"/>
    <n v="4"/>
    <n v="0"/>
    <n v="0"/>
    <s v="Unnamed ProjectTaladro.QueueNumber WaitingQueue"/>
    <n v="13"/>
    <n v="0.5642396308570482"/>
    <n v="0.48788135840657837"/>
    <n v="0.95"/>
    <n v="0.29482375421631829"/>
    <n v="0.131443895620979"/>
    <n v="1.4695242868288101"/>
    <n v="0.29482375421631829"/>
  </r>
  <r>
    <x v="0"/>
    <s v="2025-05-22 02:19:27"/>
    <n v="13"/>
    <x v="3"/>
    <x v="2"/>
    <x v="2"/>
    <n v="4.88273067440789"/>
    <n v="2E+20"/>
    <n v="0"/>
    <n v="14"/>
    <n v="0"/>
    <n v="0"/>
    <s v="Unnamed ProjectTrabajadoresWipTime PersistentUser Specified"/>
    <n v="13"/>
    <n v="5.9883645316398173"/>
    <n v="4.9200295481972205"/>
    <n v="0.95"/>
    <n v="2.9731441000168419"/>
    <n v="0.76491535215578299"/>
    <n v="17.793092708137898"/>
    <n v="2.9731441000168419"/>
  </r>
  <r>
    <x v="0"/>
    <s v="2025-05-22 02:19:27"/>
    <n v="13"/>
    <x v="4"/>
    <x v="3"/>
    <x v="3"/>
    <n v="0.625929991673979"/>
    <n v="2E+20"/>
    <n v="0"/>
    <n v="1"/>
    <n v="0"/>
    <n v="0"/>
    <s v="Unnamed ProjectrFresadoraInstantaneous UtilizationResource"/>
    <n v="13"/>
    <n v="0.5508272599640216"/>
    <n v="0.26071930751958244"/>
    <n v="0.95"/>
    <n v="0.1575511007238469"/>
    <n v="0.146598355861076"/>
    <n v="0.91769977116840795"/>
    <n v="0.1575511007238469"/>
  </r>
  <r>
    <x v="0"/>
    <s v="2025-05-22 02:19:27"/>
    <n v="13"/>
    <x v="4"/>
    <x v="4"/>
    <x v="3"/>
    <n v="1.25185998334796"/>
    <n v="2E+20"/>
    <n v="0"/>
    <n v="2"/>
    <n v="0"/>
    <n v="0"/>
    <s v="Unnamed ProjectrFresadoraNumber BusyResource"/>
    <n v="13"/>
    <n v="1.1016545199280432"/>
    <n v="0.52143861503916544"/>
    <n v="0.95"/>
    <n v="0.31510220144769419"/>
    <n v="0.293196711722152"/>
    <n v="1.8353995423368199"/>
    <n v="0.31510220144769419"/>
  </r>
  <r>
    <x v="0"/>
    <s v="2025-05-22 02:19:27"/>
    <n v="13"/>
    <x v="4"/>
    <x v="5"/>
    <x v="3"/>
    <n v="2"/>
    <n v="2E+20"/>
    <n v="2"/>
    <n v="2"/>
    <n v="2"/>
    <n v="0"/>
    <s v="Unnamed ProjectrFresadoraNumber ScheduledResource"/>
    <n v="13"/>
    <n v="2"/>
    <n v="0"/>
    <n v="0.95"/>
    <n v="0"/>
    <n v="2"/>
    <n v="2"/>
    <n v="0"/>
  </r>
  <r>
    <x v="0"/>
    <s v="2025-05-22 02:19:27"/>
    <n v="13"/>
    <x v="5"/>
    <x v="3"/>
    <x v="3"/>
    <n v="0.366284911322244"/>
    <n v="2E+20"/>
    <n v="0"/>
    <n v="1"/>
    <n v="0"/>
    <n v="0"/>
    <s v="Unnamed ProjectrTaladroInstantaneous Utilization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3"/>
    <x v="5"/>
    <x v="4"/>
    <x v="3"/>
    <n v="0.366284911322244"/>
    <n v="2E+20"/>
    <n v="0"/>
    <n v="1"/>
    <n v="0"/>
    <n v="0"/>
    <s v="Unnamed ProjectrTaladroNumber BusyResource"/>
    <n v="13"/>
    <n v="0.28215676683758301"/>
    <n v="0.13987907795908774"/>
    <n v="0.95"/>
    <n v="8.4528080832815961E-2"/>
    <n v="0.105150492315538"/>
    <n v="0.53316656156980802"/>
    <n v="8.4528080832815961E-2"/>
  </r>
  <r>
    <x v="0"/>
    <s v="2025-05-22 02:19:27"/>
    <n v="13"/>
    <x v="5"/>
    <x v="5"/>
    <x v="3"/>
    <n v="1"/>
    <n v="2E+20"/>
    <n v="1"/>
    <n v="1"/>
    <n v="1"/>
    <n v="0"/>
    <s v="Unnamed ProjectrTaladroNumber ScheduledResource"/>
    <n v="13"/>
    <n v="1"/>
    <n v="0"/>
    <n v="0.95"/>
    <n v="0"/>
    <n v="1"/>
    <n v="1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7">
  <r>
    <x v="0"/>
    <s v="2025-05-22 02:19:27"/>
    <n v="1"/>
    <x v="0"/>
    <x v="0"/>
    <x v="0"/>
    <n v="70.910890321829299"/>
    <n v="2E+20"/>
    <n v="0"/>
    <n v="176.495028449502"/>
    <n v="47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2"/>
    <x v="0"/>
    <x v="0"/>
    <x v="0"/>
    <n v="18.956666646114801"/>
    <n v="2E+20"/>
    <n v="0"/>
    <n v="57.913451852347997"/>
    <n v="37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3"/>
    <x v="0"/>
    <x v="0"/>
    <x v="0"/>
    <n v="113.873566767393"/>
    <n v="2E+20"/>
    <n v="0"/>
    <n v="186.62667375107"/>
    <n v="6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4"/>
    <x v="0"/>
    <x v="0"/>
    <x v="0"/>
    <n v="26.838476522528602"/>
    <n v="2E+20"/>
    <n v="0"/>
    <n v="42.4669428570609"/>
    <n v="1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5"/>
    <x v="0"/>
    <x v="0"/>
    <x v="0"/>
    <n v="14.9892767825901"/>
    <n v="2E+20"/>
    <n v="0"/>
    <n v="34.665474948257398"/>
    <n v="1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6"/>
    <x v="0"/>
    <x v="0"/>
    <x v="0"/>
    <n v="57.547748492087301"/>
    <n v="2E+20"/>
    <n v="0"/>
    <n v="130.51209471062899"/>
    <n v="36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7"/>
    <x v="0"/>
    <x v="0"/>
    <x v="0"/>
    <n v="39.179415333029198"/>
    <n v="2E+20"/>
    <n v="0"/>
    <n v="75.325752345558598"/>
    <n v="2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8"/>
    <x v="0"/>
    <x v="0"/>
    <x v="0"/>
    <n v="70.6934463766883"/>
    <n v="2E+20"/>
    <n v="0"/>
    <n v="194.47643588869599"/>
    <n v="52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9"/>
    <x v="0"/>
    <x v="0"/>
    <x v="0"/>
    <n v="10.358145786849899"/>
    <n v="2E+20"/>
    <n v="0"/>
    <n v="23.4898101334682"/>
    <n v="1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10"/>
    <x v="0"/>
    <x v="0"/>
    <x v="0"/>
    <n v="41.194845862287401"/>
    <n v="2E+20"/>
    <n v="0"/>
    <n v="96.3726041395701"/>
    <n v="46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11"/>
    <x v="0"/>
    <x v="0"/>
    <x v="0"/>
    <n v="12.510494289673501"/>
    <n v="2E+20"/>
    <n v="0"/>
    <n v="51.785013969742103"/>
    <n v="37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12"/>
    <x v="0"/>
    <x v="0"/>
    <x v="0"/>
    <n v="46.456172200924399"/>
    <n v="2E+20"/>
    <n v="0"/>
    <n v="97.637320619985005"/>
    <n v="3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13"/>
    <x v="0"/>
    <x v="0"/>
    <x v="0"/>
    <n v="41.426548823419502"/>
    <n v="2E+20"/>
    <n v="0"/>
    <n v="78.294002100496996"/>
    <n v="30"/>
    <s v="Unnamed ProjectFresadora.QueueWaiting TimeQueue"/>
    <n v="13"/>
    <n v="43.456591861955026"/>
    <n v="29.480485490613585"/>
    <n v="0.95"/>
    <n v="17.814879086278292"/>
    <n v="10.358145786849899"/>
    <n v="113.873566767393"/>
    <n v="0"/>
    <n v="194.47643588869599"/>
    <n v="32.692307692307693"/>
    <n v="17.814879086278292"/>
    <n v="13"/>
    <n v="1"/>
  </r>
  <r>
    <x v="0"/>
    <s v="2025-05-22 02:19:27"/>
    <n v="1"/>
    <x v="1"/>
    <x v="1"/>
    <x v="1"/>
    <n v="0"/>
    <n v="2E+20"/>
    <n v="0"/>
    <n v="0"/>
    <n v="45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"/>
    <x v="1"/>
    <x v="2"/>
    <x v="1"/>
    <n v="0"/>
    <n v="2E+20"/>
    <n v="0"/>
    <n v="0"/>
    <n v="45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"/>
    <x v="1"/>
    <x v="3"/>
    <x v="1"/>
    <n v="99.707053515598503"/>
    <n v="2E+20"/>
    <n v="0.152164008586226"/>
    <n v="223.48797341429699"/>
    <n v="45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"/>
    <x v="1"/>
    <x v="4"/>
    <x v="1"/>
    <n v="0"/>
    <n v="2E+20"/>
    <n v="0"/>
    <n v="0"/>
    <n v="45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"/>
    <x v="1"/>
    <x v="5"/>
    <x v="1"/>
    <n v="19.786469207935099"/>
    <n v="2E+20"/>
    <n v="0.152164008586226"/>
    <n v="55.262776574955602"/>
    <n v="45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1"/>
    <x v="1"/>
    <x v="6"/>
    <x v="1"/>
    <n v="79.920584307663404"/>
    <n v="2E+20"/>
    <n v="0"/>
    <n v="192.526903558257"/>
    <n v="45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2"/>
    <x v="1"/>
    <x v="1"/>
    <x v="1"/>
    <n v="0"/>
    <n v="2E+20"/>
    <n v="0"/>
    <n v="0"/>
    <n v="35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2"/>
    <x v="1"/>
    <x v="2"/>
    <x v="1"/>
    <n v="0"/>
    <n v="2E+20"/>
    <n v="0"/>
    <n v="0"/>
    <n v="35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2"/>
    <x v="1"/>
    <x v="3"/>
    <x v="1"/>
    <n v="38.999709780670003"/>
    <n v="2E+20"/>
    <n v="0.77349192250716203"/>
    <n v="78.046714612535794"/>
    <n v="35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2"/>
    <x v="1"/>
    <x v="4"/>
    <x v="1"/>
    <n v="0"/>
    <n v="2E+20"/>
    <n v="0"/>
    <n v="0"/>
    <n v="35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2"/>
    <x v="1"/>
    <x v="5"/>
    <x v="1"/>
    <n v="16.8924384146191"/>
    <n v="2E+20"/>
    <n v="0.36946695783996097"/>
    <n v="33.221813034815497"/>
    <n v="35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2"/>
    <x v="1"/>
    <x v="6"/>
    <x v="1"/>
    <n v="22.107271366050899"/>
    <n v="2E+20"/>
    <n v="0"/>
    <n v="57.913451852347997"/>
    <n v="35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3"/>
    <x v="1"/>
    <x v="1"/>
    <x v="1"/>
    <n v="0"/>
    <n v="2E+20"/>
    <n v="0"/>
    <n v="0"/>
    <n v="6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3"/>
    <x v="1"/>
    <x v="2"/>
    <x v="1"/>
    <n v="0"/>
    <n v="2E+20"/>
    <n v="0"/>
    <n v="0"/>
    <n v="6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3"/>
    <x v="1"/>
    <x v="3"/>
    <x v="1"/>
    <n v="142.34474166510299"/>
    <n v="2E+20"/>
    <n v="10.692261518754099"/>
    <n v="325.009989822124"/>
    <n v="6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3"/>
    <x v="1"/>
    <x v="4"/>
    <x v="1"/>
    <n v="0"/>
    <n v="2E+20"/>
    <n v="0"/>
    <n v="0"/>
    <n v="6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3"/>
    <x v="1"/>
    <x v="5"/>
    <x v="1"/>
    <n v="17.419694099436299"/>
    <n v="2E+20"/>
    <n v="0.15406401501271499"/>
    <n v="53.646167160752697"/>
    <n v="6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3"/>
    <x v="1"/>
    <x v="6"/>
    <x v="1"/>
    <n v="124.925047565667"/>
    <n v="2E+20"/>
    <n v="0"/>
    <n v="294.70447078008698"/>
    <n v="6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4"/>
    <x v="1"/>
    <x v="1"/>
    <x v="1"/>
    <n v="0"/>
    <n v="2E+20"/>
    <n v="0"/>
    <n v="0"/>
    <n v="1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4"/>
    <x v="1"/>
    <x v="2"/>
    <x v="1"/>
    <n v="0"/>
    <n v="2E+20"/>
    <n v="0"/>
    <n v="0"/>
    <n v="1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4"/>
    <x v="1"/>
    <x v="3"/>
    <x v="1"/>
    <n v="60.093936528651703"/>
    <n v="2E+20"/>
    <n v="24.224341691845702"/>
    <n v="104.804486134078"/>
    <n v="1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4"/>
    <x v="1"/>
    <x v="4"/>
    <x v="1"/>
    <n v="0"/>
    <n v="2E+20"/>
    <n v="0"/>
    <n v="0"/>
    <n v="1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4"/>
    <x v="1"/>
    <x v="5"/>
    <x v="1"/>
    <n v="24.849119618257902"/>
    <n v="2E+20"/>
    <n v="6.0967235470335099"/>
    <n v="34.105289813132401"/>
    <n v="1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4"/>
    <x v="1"/>
    <x v="6"/>
    <x v="1"/>
    <n v="35.244816910393901"/>
    <n v="2E+20"/>
    <n v="0"/>
    <n v="75.345749998947994"/>
    <n v="1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5"/>
    <x v="1"/>
    <x v="1"/>
    <x v="1"/>
    <n v="0"/>
    <n v="2E+20"/>
    <n v="0"/>
    <n v="0"/>
    <n v="1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5"/>
    <x v="1"/>
    <x v="2"/>
    <x v="1"/>
    <n v="0"/>
    <n v="2E+20"/>
    <n v="0"/>
    <n v="0"/>
    <n v="1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5"/>
    <x v="1"/>
    <x v="3"/>
    <x v="1"/>
    <n v="48.9970601757176"/>
    <n v="2E+20"/>
    <n v="18.178312836459199"/>
    <n v="86.313837988033896"/>
    <n v="1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5"/>
    <x v="1"/>
    <x v="4"/>
    <x v="1"/>
    <n v="0"/>
    <n v="2E+20"/>
    <n v="0"/>
    <n v="0"/>
    <n v="1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5"/>
    <x v="1"/>
    <x v="5"/>
    <x v="1"/>
    <n v="22.092390138799601"/>
    <n v="2E+20"/>
    <n v="7.3516274477178198"/>
    <n v="31.791519452684501"/>
    <n v="1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5"/>
    <x v="1"/>
    <x v="6"/>
    <x v="1"/>
    <n v="26.904670036917999"/>
    <n v="2E+20"/>
    <n v="0"/>
    <n v="55.4022041057042"/>
    <n v="1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6"/>
    <x v="1"/>
    <x v="1"/>
    <x v="1"/>
    <n v="0"/>
    <n v="2E+20"/>
    <n v="0"/>
    <n v="0"/>
    <n v="34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6"/>
    <x v="1"/>
    <x v="2"/>
    <x v="1"/>
    <n v="0"/>
    <n v="2E+20"/>
    <n v="0"/>
    <n v="0"/>
    <n v="34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6"/>
    <x v="1"/>
    <x v="3"/>
    <x v="1"/>
    <n v="77.088436440119807"/>
    <n v="2E+20"/>
    <n v="1.7340741106651201"/>
    <n v="172.22256040265199"/>
    <n v="34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6"/>
    <x v="1"/>
    <x v="4"/>
    <x v="1"/>
    <n v="0"/>
    <n v="2E+20"/>
    <n v="0"/>
    <n v="0"/>
    <n v="34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6"/>
    <x v="1"/>
    <x v="5"/>
    <x v="1"/>
    <n v="21.7222131943712"/>
    <n v="2E+20"/>
    <n v="0.39703464148294598"/>
    <n v="93.077852048790305"/>
    <n v="34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6"/>
    <x v="1"/>
    <x v="6"/>
    <x v="1"/>
    <n v="55.366223245748699"/>
    <n v="2E+20"/>
    <n v="0"/>
    <n v="143.23935998028301"/>
    <n v="34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7"/>
    <x v="1"/>
    <x v="1"/>
    <x v="1"/>
    <n v="0"/>
    <n v="2E+20"/>
    <n v="0"/>
    <n v="0"/>
    <n v="2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7"/>
    <x v="1"/>
    <x v="2"/>
    <x v="1"/>
    <n v="0"/>
    <n v="2E+20"/>
    <n v="0"/>
    <n v="0"/>
    <n v="2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7"/>
    <x v="1"/>
    <x v="3"/>
    <x v="1"/>
    <n v="68.415413045127195"/>
    <n v="2E+20"/>
    <n v="16.833421248526101"/>
    <n v="110.813924952088"/>
    <n v="2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7"/>
    <x v="1"/>
    <x v="4"/>
    <x v="1"/>
    <n v="0"/>
    <n v="2E+20"/>
    <n v="0"/>
    <n v="0"/>
    <n v="2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7"/>
    <x v="1"/>
    <x v="5"/>
    <x v="1"/>
    <n v="24.604399433682602"/>
    <n v="2E+20"/>
    <n v="1.94871895462762"/>
    <n v="67.9957330948303"/>
    <n v="2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7"/>
    <x v="1"/>
    <x v="6"/>
    <x v="1"/>
    <n v="43.811013611444601"/>
    <n v="2E+20"/>
    <n v="0"/>
    <n v="79.197760535341601"/>
    <n v="2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8"/>
    <x v="1"/>
    <x v="1"/>
    <x v="1"/>
    <n v="0"/>
    <n v="2E+20"/>
    <n v="0"/>
    <n v="0"/>
    <n v="5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8"/>
    <x v="1"/>
    <x v="2"/>
    <x v="1"/>
    <n v="0"/>
    <n v="2E+20"/>
    <n v="0"/>
    <n v="0"/>
    <n v="5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8"/>
    <x v="1"/>
    <x v="3"/>
    <x v="1"/>
    <n v="97.799434999713498"/>
    <n v="2E+20"/>
    <n v="3.70210877465707"/>
    <n v="271.14236604633402"/>
    <n v="5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8"/>
    <x v="1"/>
    <x v="4"/>
    <x v="1"/>
    <n v="0"/>
    <n v="2E+20"/>
    <n v="0"/>
    <n v="0"/>
    <n v="5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8"/>
    <x v="1"/>
    <x v="5"/>
    <x v="1"/>
    <n v="20.0380092986472"/>
    <n v="2E+20"/>
    <n v="0.59714726845760402"/>
    <n v="85.643036617838305"/>
    <n v="5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8"/>
    <x v="1"/>
    <x v="6"/>
    <x v="1"/>
    <n v="77.761425701066202"/>
    <n v="2E+20"/>
    <n v="0"/>
    <n v="243.53759488083099"/>
    <n v="5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9"/>
    <x v="1"/>
    <x v="1"/>
    <x v="1"/>
    <n v="0"/>
    <n v="2E+20"/>
    <n v="0"/>
    <n v="0"/>
    <n v="1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9"/>
    <x v="1"/>
    <x v="2"/>
    <x v="1"/>
    <n v="0"/>
    <n v="2E+20"/>
    <n v="0"/>
    <n v="0"/>
    <n v="1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9"/>
    <x v="1"/>
    <x v="3"/>
    <x v="1"/>
    <n v="36.715936903477598"/>
    <n v="2E+20"/>
    <n v="4.4117365936849096"/>
    <n v="72.968376141887802"/>
    <n v="1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9"/>
    <x v="1"/>
    <x v="4"/>
    <x v="1"/>
    <n v="0"/>
    <n v="2E+20"/>
    <n v="0"/>
    <n v="0"/>
    <n v="1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9"/>
    <x v="1"/>
    <x v="5"/>
    <x v="1"/>
    <n v="19.1489504438517"/>
    <n v="2E+20"/>
    <n v="3.6740747243398499"/>
    <n v="29.629471856765399"/>
    <n v="1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9"/>
    <x v="1"/>
    <x v="6"/>
    <x v="1"/>
    <n v="17.566986459625902"/>
    <n v="2E+20"/>
    <n v="0"/>
    <n v="43.514723417074698"/>
    <n v="1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10"/>
    <x v="1"/>
    <x v="1"/>
    <x v="1"/>
    <n v="0"/>
    <n v="2E+20"/>
    <n v="0"/>
    <n v="0"/>
    <n v="44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0"/>
    <x v="1"/>
    <x v="2"/>
    <x v="1"/>
    <n v="0"/>
    <n v="2E+20"/>
    <n v="0"/>
    <n v="0"/>
    <n v="44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0"/>
    <x v="1"/>
    <x v="3"/>
    <x v="1"/>
    <n v="64.677968261381395"/>
    <n v="2E+20"/>
    <n v="0.78423142087939401"/>
    <n v="148.907762130142"/>
    <n v="44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0"/>
    <x v="1"/>
    <x v="4"/>
    <x v="1"/>
    <n v="0"/>
    <n v="2E+20"/>
    <n v="0"/>
    <n v="0"/>
    <n v="44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0"/>
    <x v="1"/>
    <x v="5"/>
    <x v="1"/>
    <n v="18.844938891568098"/>
    <n v="2E+20"/>
    <n v="0.299975709446201"/>
    <n v="60.996760904885797"/>
    <n v="44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10"/>
    <x v="1"/>
    <x v="6"/>
    <x v="1"/>
    <n v="45.833029369813303"/>
    <n v="2E+20"/>
    <n v="0"/>
    <n v="119.37426324864001"/>
    <n v="44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11"/>
    <x v="1"/>
    <x v="1"/>
    <x v="1"/>
    <n v="0"/>
    <n v="2E+20"/>
    <n v="0"/>
    <n v="0"/>
    <n v="35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1"/>
    <x v="1"/>
    <x v="2"/>
    <x v="1"/>
    <n v="0"/>
    <n v="2E+20"/>
    <n v="0"/>
    <n v="0"/>
    <n v="35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1"/>
    <x v="1"/>
    <x v="3"/>
    <x v="1"/>
    <n v="43.363288341678697"/>
    <n v="2E+20"/>
    <n v="4.9607846640384402E-2"/>
    <n v="115.545474408378"/>
    <n v="35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1"/>
    <x v="1"/>
    <x v="4"/>
    <x v="1"/>
    <n v="0"/>
    <n v="2E+20"/>
    <n v="0"/>
    <n v="0"/>
    <n v="35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1"/>
    <x v="1"/>
    <x v="5"/>
    <x v="1"/>
    <n v="18.3758419247945"/>
    <n v="2E+20"/>
    <n v="4.9607846640384402E-2"/>
    <n v="42.322217142074301"/>
    <n v="35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11"/>
    <x v="1"/>
    <x v="6"/>
    <x v="1"/>
    <n v="24.9874464168843"/>
    <n v="2E+20"/>
    <n v="0"/>
    <n v="83.065632174606407"/>
    <n v="35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12"/>
    <x v="1"/>
    <x v="1"/>
    <x v="1"/>
    <n v="0"/>
    <n v="2E+20"/>
    <n v="0"/>
    <n v="0"/>
    <n v="3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2"/>
    <x v="1"/>
    <x v="2"/>
    <x v="1"/>
    <n v="0"/>
    <n v="2E+20"/>
    <n v="0"/>
    <n v="0"/>
    <n v="3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2"/>
    <x v="1"/>
    <x v="3"/>
    <x v="1"/>
    <n v="66.654908046474702"/>
    <n v="2E+20"/>
    <n v="1.4504101960251901"/>
    <n v="136.82886932396499"/>
    <n v="3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2"/>
    <x v="1"/>
    <x v="4"/>
    <x v="1"/>
    <n v="0"/>
    <n v="2E+20"/>
    <n v="0"/>
    <n v="0"/>
    <n v="3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2"/>
    <x v="1"/>
    <x v="5"/>
    <x v="1"/>
    <n v="18.095633515614601"/>
    <n v="2E+20"/>
    <n v="0.261766338793677"/>
    <n v="64.542417730821001"/>
    <n v="3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12"/>
    <x v="1"/>
    <x v="6"/>
    <x v="1"/>
    <n v="48.559274530860101"/>
    <n v="2E+20"/>
    <n v="0"/>
    <n v="106.453282522641"/>
    <n v="3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13"/>
    <x v="1"/>
    <x v="1"/>
    <x v="1"/>
    <n v="0"/>
    <n v="2E+20"/>
    <n v="0"/>
    <n v="0"/>
    <n v="30"/>
    <s v="Unnamed ProjectItemsNVA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3"/>
    <x v="1"/>
    <x v="2"/>
    <x v="1"/>
    <n v="0"/>
    <n v="2E+20"/>
    <n v="0"/>
    <n v="0"/>
    <n v="30"/>
    <s v="Unnamed ProjectItemsOth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3"/>
    <x v="1"/>
    <x v="3"/>
    <x v="1"/>
    <n v="78.123690790526197"/>
    <n v="2E+20"/>
    <n v="7.6802272152733302"/>
    <n v="123.626850502785"/>
    <n v="30"/>
    <s v="Unnamed ProjectItemsTotal TimeEntity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3"/>
    <x v="1"/>
    <x v="4"/>
    <x v="1"/>
    <n v="0"/>
    <n v="2E+20"/>
    <n v="0"/>
    <n v="0"/>
    <n v="30"/>
    <s v="Unnamed ProjectItemsTransfer TimeEntity"/>
    <n v="13"/>
    <n v="0"/>
    <n v="0"/>
    <n v="0.95"/>
    <n v="0"/>
    <n v="0"/>
    <n v="0"/>
    <n v="0"/>
    <n v="0"/>
    <n v="31.76923076923077"/>
    <n v="0"/>
    <n v="13"/>
    <n v="1"/>
  </r>
  <r>
    <x v="0"/>
    <s v="2025-05-22 02:19:27"/>
    <n v="13"/>
    <x v="1"/>
    <x v="5"/>
    <x v="1"/>
    <n v="25.890318314723199"/>
    <n v="2E+20"/>
    <n v="2.6375761741842898"/>
    <n v="78.963066103272695"/>
    <n v="30"/>
    <s v="Unnamed ProjectItemsVA TimeEntity"/>
    <n v="13"/>
    <n v="20.596955115100084"/>
    <n v="2.983380490980692"/>
    <n v="0.95"/>
    <n v="1.8028387874448264"/>
    <n v="16.8924384146191"/>
    <n v="25.890318314723199"/>
    <n v="4.9607846640384402E-2"/>
    <n v="93.077852048790305"/>
    <n v="31.76923076923077"/>
    <n v="1.8028387874448264"/>
    <n v="13"/>
    <n v="1"/>
  </r>
  <r>
    <x v="0"/>
    <s v="2025-05-22 02:19:27"/>
    <n v="13"/>
    <x v="1"/>
    <x v="6"/>
    <x v="1"/>
    <n v="52.233372475803002"/>
    <n v="2E+20"/>
    <n v="0"/>
    <n v="93.062749133456094"/>
    <n v="30"/>
    <s v="Unnamed ProjectItemsWait TimeEntity"/>
    <n v="13"/>
    <n v="50.401627845995328"/>
    <n v="29.686940606550408"/>
    <n v="0.95"/>
    <n v="17.939638664214318"/>
    <n v="17.566986459625902"/>
    <n v="124.925047565667"/>
    <n v="0"/>
    <n v="294.70447078008698"/>
    <n v="31.76923076923077"/>
    <n v="17.939638664214318"/>
    <n v="13"/>
    <n v="1"/>
  </r>
  <r>
    <x v="0"/>
    <s v="2025-05-22 02:19:27"/>
    <n v="1"/>
    <x v="2"/>
    <x v="7"/>
    <x v="2"/>
    <n v="99.707053515598503"/>
    <n v="2E+20"/>
    <n v="0.152164008586226"/>
    <n v="223.48797341429699"/>
    <n v="45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2"/>
    <x v="2"/>
    <x v="7"/>
    <x v="2"/>
    <n v="38.999709780670003"/>
    <n v="2E+20"/>
    <n v="0.77349192250716203"/>
    <n v="78.046714612535794"/>
    <n v="35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3"/>
    <x v="2"/>
    <x v="7"/>
    <x v="2"/>
    <n v="142.34474166510299"/>
    <n v="2E+20"/>
    <n v="10.692261518754099"/>
    <n v="325.009989822124"/>
    <n v="6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4"/>
    <x v="2"/>
    <x v="7"/>
    <x v="2"/>
    <n v="60.093936528651703"/>
    <n v="2E+20"/>
    <n v="24.224341691845702"/>
    <n v="104.804486134078"/>
    <n v="1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5"/>
    <x v="2"/>
    <x v="7"/>
    <x v="2"/>
    <n v="48.9970601757176"/>
    <n v="2E+20"/>
    <n v="18.178312836459199"/>
    <n v="86.313837988033896"/>
    <n v="1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6"/>
    <x v="2"/>
    <x v="7"/>
    <x v="2"/>
    <n v="77.088436440119807"/>
    <n v="2E+20"/>
    <n v="1.7340741106651201"/>
    <n v="172.22256040265199"/>
    <n v="34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7"/>
    <x v="2"/>
    <x v="7"/>
    <x v="2"/>
    <n v="68.415413045127195"/>
    <n v="2E+20"/>
    <n v="16.833421248526101"/>
    <n v="110.813924952088"/>
    <n v="2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8"/>
    <x v="2"/>
    <x v="7"/>
    <x v="2"/>
    <n v="97.799434999713498"/>
    <n v="2E+20"/>
    <n v="3.70210877465707"/>
    <n v="271.14236604633402"/>
    <n v="5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9"/>
    <x v="2"/>
    <x v="7"/>
    <x v="2"/>
    <n v="36.715936903477598"/>
    <n v="2E+20"/>
    <n v="4.4117365936849096"/>
    <n v="72.968376141887802"/>
    <n v="1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0"/>
    <x v="2"/>
    <x v="7"/>
    <x v="2"/>
    <n v="64.677968261381395"/>
    <n v="2E+20"/>
    <n v="0.78423142087939401"/>
    <n v="148.907762130142"/>
    <n v="44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1"/>
    <x v="2"/>
    <x v="7"/>
    <x v="2"/>
    <n v="43.363288341678697"/>
    <n v="2E+20"/>
    <n v="4.9607846640384402E-2"/>
    <n v="115.545474408378"/>
    <n v="35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2"/>
    <x v="2"/>
    <x v="7"/>
    <x v="2"/>
    <n v="66.654908046474702"/>
    <n v="2E+20"/>
    <n v="1.4504101960251901"/>
    <n v="136.82886932396499"/>
    <n v="3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3"/>
    <x v="2"/>
    <x v="7"/>
    <x v="2"/>
    <n v="78.123690790526197"/>
    <n v="2E+20"/>
    <n v="7.6802272152733302"/>
    <n v="123.626850502785"/>
    <n v="30"/>
    <s v="Unnamed ProjectSistemaExpressionUser Specified"/>
    <n v="13"/>
    <n v="70.99858296109538"/>
    <n v="29.371181698013853"/>
    <n v="0.95"/>
    <n v="17.74882746547117"/>
    <n v="36.715936903477598"/>
    <n v="142.34474166510299"/>
    <n v="4.9607846640384402E-2"/>
    <n v="325.009989822124"/>
    <n v="31.76923076923077"/>
    <n v="17.74882746547117"/>
    <n v="13"/>
    <n v="1"/>
  </r>
  <r>
    <x v="0"/>
    <s v="2025-05-22 02:19:27"/>
    <n v="1"/>
    <x v="3"/>
    <x v="0"/>
    <x v="0"/>
    <n v="19.976945009484101"/>
    <n v="2E+20"/>
    <n v="0"/>
    <n v="52.832465266572598"/>
    <n v="16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2"/>
    <x v="3"/>
    <x v="0"/>
    <x v="0"/>
    <n v="14.712290903970599"/>
    <n v="2E+20"/>
    <n v="0"/>
    <n v="37.392624383805902"/>
    <n v="13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3"/>
    <x v="3"/>
    <x v="0"/>
    <x v="0"/>
    <n v="41.443052993527601"/>
    <n v="2E+20"/>
    <n v="0"/>
    <n v="108.07779702901701"/>
    <n v="16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4"/>
    <x v="3"/>
    <x v="0"/>
    <x v="0"/>
    <n v="21.015850969663099"/>
    <n v="2E+20"/>
    <n v="0"/>
    <n v="40.470393368348503"/>
    <n v="4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5"/>
    <x v="3"/>
    <x v="0"/>
    <x v="0"/>
    <n v="23.830786508655699"/>
    <n v="2E+20"/>
    <n v="0"/>
    <n v="46.398160358009797"/>
    <n v="5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6"/>
    <x v="3"/>
    <x v="0"/>
    <x v="0"/>
    <n v="7.0086507898075601"/>
    <n v="2E+20"/>
    <n v="0"/>
    <n v="23.8190577279737"/>
    <n v="10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7"/>
    <x v="3"/>
    <x v="0"/>
    <x v="0"/>
    <n v="15.4386609280513"/>
    <n v="2E+20"/>
    <n v="0"/>
    <n v="40.464967079967799"/>
    <n v="6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8"/>
    <x v="3"/>
    <x v="0"/>
    <x v="0"/>
    <n v="17.966914174012"/>
    <n v="2E+20"/>
    <n v="0"/>
    <n v="50.698954747612099"/>
    <n v="12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9"/>
    <x v="3"/>
    <x v="0"/>
    <x v="0"/>
    <n v="18.0221016819401"/>
    <n v="2E+20"/>
    <n v="0"/>
    <n v="37.603195226766999"/>
    <n v="4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10"/>
    <x v="3"/>
    <x v="0"/>
    <x v="0"/>
    <n v="29.422255910908699"/>
    <n v="2E+20"/>
    <n v="0"/>
    <n v="81.437864762712493"/>
    <n v="22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11"/>
    <x v="3"/>
    <x v="0"/>
    <x v="0"/>
    <n v="31.188874326319102"/>
    <n v="2E+20"/>
    <n v="0"/>
    <n v="83.065632174606407"/>
    <n v="16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12"/>
    <x v="3"/>
    <x v="0"/>
    <x v="0"/>
    <n v="9.0132956997242495"/>
    <n v="2E+20"/>
    <n v="0"/>
    <n v="23.4215653222304"/>
    <n v="7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  <r>
    <x v="0"/>
    <s v="2025-05-22 02:19:27"/>
    <n v="13"/>
    <x v="3"/>
    <x v="0"/>
    <x v="0"/>
    <n v="23.1574792551074"/>
    <n v="2E+20"/>
    <n v="0"/>
    <n v="51.843282034445103"/>
    <n v="14"/>
    <s v="Unnamed ProjectTaladro.QueueWaiting TimeQueue"/>
    <n v="13"/>
    <n v="20.938243011628575"/>
    <n v="9.2839536736063586"/>
    <n v="0.95"/>
    <n v="5.610237056325496"/>
    <n v="7.0086507898075601"/>
    <n v="41.443052993527601"/>
    <n v="0"/>
    <n v="108.07779702901701"/>
    <n v="11.153846153846153"/>
    <n v="5.610237056325496"/>
    <n v="13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x v="0"/>
    <s v="2025-05-22 02:19:27"/>
    <n v="1"/>
    <x v="0"/>
    <x v="0"/>
    <x v="0"/>
    <n v="5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1"/>
    <x v="1"/>
    <x v="1"/>
    <x v="0"/>
    <n v="45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1"/>
    <x v="2"/>
    <x v="1"/>
    <x v="1"/>
    <n v="45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1"/>
    <x v="3"/>
    <x v="2"/>
    <x v="2"/>
    <n v="47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1"/>
    <x v="4"/>
    <x v="3"/>
    <x v="2"/>
    <n v="0.78540458648547895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1"/>
    <x v="5"/>
    <x v="2"/>
    <x v="2"/>
    <n v="16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1"/>
    <x v="6"/>
    <x v="3"/>
    <x v="2"/>
    <n v="0.39554493241189598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2"/>
    <x v="0"/>
    <x v="0"/>
    <x v="0"/>
    <n v="4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2"/>
    <x v="1"/>
    <x v="1"/>
    <x v="0"/>
    <n v="35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2"/>
    <x v="2"/>
    <x v="1"/>
    <x v="1"/>
    <n v="35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2"/>
    <x v="3"/>
    <x v="2"/>
    <x v="2"/>
    <n v="37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2"/>
    <x v="4"/>
    <x v="3"/>
    <x v="2"/>
    <n v="0.56306843005182206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2"/>
    <x v="5"/>
    <x v="2"/>
    <x v="2"/>
    <n v="13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2"/>
    <x v="6"/>
    <x v="3"/>
    <x v="2"/>
    <n v="0.33684612724144403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3"/>
    <x v="0"/>
    <x v="0"/>
    <x v="0"/>
    <n v="6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3"/>
    <x v="1"/>
    <x v="1"/>
    <x v="0"/>
    <n v="6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3"/>
    <x v="2"/>
    <x v="1"/>
    <x v="1"/>
    <n v="6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3"/>
    <x v="3"/>
    <x v="2"/>
    <x v="2"/>
    <n v="6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3"/>
    <x v="4"/>
    <x v="3"/>
    <x v="2"/>
    <n v="0.87909786633303799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3"/>
    <x v="5"/>
    <x v="2"/>
    <x v="2"/>
    <n v="16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3"/>
    <x v="6"/>
    <x v="3"/>
    <x v="2"/>
    <n v="0.419266029763466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4"/>
    <x v="0"/>
    <x v="0"/>
    <x v="0"/>
    <n v="1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4"/>
    <x v="1"/>
    <x v="1"/>
    <x v="0"/>
    <n v="1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4"/>
    <x v="2"/>
    <x v="1"/>
    <x v="1"/>
    <n v="1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4"/>
    <x v="3"/>
    <x v="2"/>
    <x v="2"/>
    <n v="1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4"/>
    <x v="4"/>
    <x v="3"/>
    <x v="2"/>
    <n v="0.20626974986575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4"/>
    <x v="5"/>
    <x v="2"/>
    <x v="2"/>
    <n v="4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4"/>
    <x v="6"/>
    <x v="3"/>
    <x v="2"/>
    <n v="0.105150492315538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5"/>
    <x v="0"/>
    <x v="0"/>
    <x v="0"/>
    <n v="1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5"/>
    <x v="1"/>
    <x v="1"/>
    <x v="0"/>
    <n v="1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5"/>
    <x v="2"/>
    <x v="1"/>
    <x v="1"/>
    <n v="1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5"/>
    <x v="3"/>
    <x v="2"/>
    <x v="2"/>
    <n v="1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5"/>
    <x v="4"/>
    <x v="3"/>
    <x v="2"/>
    <n v="0.16923556352618799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5"/>
    <x v="5"/>
    <x v="2"/>
    <x v="2"/>
    <n v="5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5"/>
    <x v="6"/>
    <x v="3"/>
    <x v="2"/>
    <n v="0.121787000839284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6"/>
    <x v="0"/>
    <x v="0"/>
    <x v="0"/>
    <n v="5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6"/>
    <x v="1"/>
    <x v="1"/>
    <x v="0"/>
    <n v="34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6"/>
    <x v="2"/>
    <x v="1"/>
    <x v="1"/>
    <n v="34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6"/>
    <x v="3"/>
    <x v="2"/>
    <x v="2"/>
    <n v="36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6"/>
    <x v="4"/>
    <x v="3"/>
    <x v="2"/>
    <n v="0.721319861491027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6"/>
    <x v="5"/>
    <x v="2"/>
    <x v="2"/>
    <n v="10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6"/>
    <x v="6"/>
    <x v="3"/>
    <x v="2"/>
    <n v="0.22655773162805501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7"/>
    <x v="0"/>
    <x v="0"/>
    <x v="0"/>
    <n v="2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7"/>
    <x v="1"/>
    <x v="1"/>
    <x v="0"/>
    <n v="2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7"/>
    <x v="2"/>
    <x v="1"/>
    <x v="1"/>
    <n v="2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7"/>
    <x v="3"/>
    <x v="2"/>
    <x v="2"/>
    <n v="2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7"/>
    <x v="4"/>
    <x v="3"/>
    <x v="2"/>
    <n v="0.42713655672003298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7"/>
    <x v="5"/>
    <x v="2"/>
    <x v="2"/>
    <n v="6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7"/>
    <x v="6"/>
    <x v="3"/>
    <x v="2"/>
    <n v="0.170910196296711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8"/>
    <x v="0"/>
    <x v="0"/>
    <x v="0"/>
    <n v="6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8"/>
    <x v="1"/>
    <x v="1"/>
    <x v="0"/>
    <n v="5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8"/>
    <x v="2"/>
    <x v="1"/>
    <x v="1"/>
    <n v="5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8"/>
    <x v="3"/>
    <x v="2"/>
    <x v="2"/>
    <n v="52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8"/>
    <x v="4"/>
    <x v="3"/>
    <x v="2"/>
    <n v="0.91769977116840795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8"/>
    <x v="5"/>
    <x v="2"/>
    <x v="2"/>
    <n v="12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8"/>
    <x v="6"/>
    <x v="3"/>
    <x v="2"/>
    <n v="0.30277926441613101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9"/>
    <x v="0"/>
    <x v="0"/>
    <x v="0"/>
    <n v="1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9"/>
    <x v="1"/>
    <x v="1"/>
    <x v="0"/>
    <n v="1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9"/>
    <x v="2"/>
    <x v="1"/>
    <x v="1"/>
    <n v="1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9"/>
    <x v="3"/>
    <x v="2"/>
    <x v="2"/>
    <n v="1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9"/>
    <x v="4"/>
    <x v="3"/>
    <x v="2"/>
    <n v="0.146598355861076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9"/>
    <x v="5"/>
    <x v="2"/>
    <x v="2"/>
    <n v="4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9"/>
    <x v="6"/>
    <x v="3"/>
    <x v="2"/>
    <n v="0.10573975585809101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10"/>
    <x v="0"/>
    <x v="0"/>
    <x v="0"/>
    <n v="7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10"/>
    <x v="1"/>
    <x v="1"/>
    <x v="0"/>
    <n v="44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10"/>
    <x v="2"/>
    <x v="1"/>
    <x v="1"/>
    <n v="44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10"/>
    <x v="3"/>
    <x v="2"/>
    <x v="2"/>
    <n v="46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10"/>
    <x v="4"/>
    <x v="3"/>
    <x v="2"/>
    <n v="0.73296915102496596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10"/>
    <x v="5"/>
    <x v="2"/>
    <x v="2"/>
    <n v="22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10"/>
    <x v="6"/>
    <x v="3"/>
    <x v="2"/>
    <n v="0.53316656156980802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11"/>
    <x v="0"/>
    <x v="0"/>
    <x v="0"/>
    <n v="6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11"/>
    <x v="1"/>
    <x v="1"/>
    <x v="0"/>
    <n v="35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11"/>
    <x v="2"/>
    <x v="1"/>
    <x v="1"/>
    <n v="35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11"/>
    <x v="3"/>
    <x v="2"/>
    <x v="2"/>
    <n v="37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11"/>
    <x v="4"/>
    <x v="3"/>
    <x v="2"/>
    <n v="0.50974282027381601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11"/>
    <x v="5"/>
    <x v="2"/>
    <x v="2"/>
    <n v="16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11"/>
    <x v="6"/>
    <x v="3"/>
    <x v="2"/>
    <n v="0.40559122061339797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12"/>
    <x v="0"/>
    <x v="0"/>
    <x v="0"/>
    <n v="3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12"/>
    <x v="1"/>
    <x v="1"/>
    <x v="0"/>
    <n v="3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12"/>
    <x v="2"/>
    <x v="1"/>
    <x v="1"/>
    <n v="3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12"/>
    <x v="3"/>
    <x v="2"/>
    <x v="2"/>
    <n v="3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12"/>
    <x v="4"/>
    <x v="3"/>
    <x v="2"/>
    <n v="0.47628167505669899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12"/>
    <x v="5"/>
    <x v="2"/>
    <x v="2"/>
    <n v="7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12"/>
    <x v="6"/>
    <x v="3"/>
    <x v="2"/>
    <n v="0.178413744612513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  <r>
    <x v="0"/>
    <s v="2025-05-22 02:19:27"/>
    <n v="13"/>
    <x v="0"/>
    <x v="0"/>
    <x v="0"/>
    <n v="30"/>
    <n v="0"/>
    <s v="Unnamed ProjectItems.NumberInNumber InEntity"/>
    <n v="13"/>
    <n v="38.46153846153846"/>
    <n v="21.543039806456381"/>
    <n v="0.95"/>
    <n v="13.01832866440059"/>
    <n v="10"/>
    <n v="70"/>
  </r>
  <r>
    <x v="0"/>
    <s v="2025-05-22 02:19:27"/>
    <n v="13"/>
    <x v="1"/>
    <x v="1"/>
    <x v="0"/>
    <n v="30"/>
    <n v="0"/>
    <s v="Unnamed ProjectItems.NumberOutNumber OutEntity"/>
    <n v="13"/>
    <n v="31.76923076923077"/>
    <n v="15.932952468358597"/>
    <n v="0.95"/>
    <n v="9.6281868153630583"/>
    <n v="10"/>
    <n v="60"/>
  </r>
  <r>
    <x v="0"/>
    <s v="2025-05-22 02:19:27"/>
    <n v="13"/>
    <x v="2"/>
    <x v="1"/>
    <x v="1"/>
    <n v="30"/>
    <n v="0"/>
    <s v="Unnamed ProjectSystem.NumberOutNumber OutSystem"/>
    <n v="13"/>
    <n v="31.76923076923077"/>
    <n v="15.932952468358597"/>
    <n v="0.95"/>
    <n v="9.6281868153630583"/>
    <n v="10"/>
    <n v="60"/>
  </r>
  <r>
    <x v="0"/>
    <s v="2025-05-22 02:19:27"/>
    <n v="13"/>
    <x v="3"/>
    <x v="2"/>
    <x v="2"/>
    <n v="30"/>
    <n v="0"/>
    <s v="Unnamed ProjectrFresadora.NumberSeizedTotal Number SeizedResource"/>
    <n v="13"/>
    <n v="32.692307692307693"/>
    <n v="16.504467149757847"/>
    <n v="0.95"/>
    <n v="9.9735496808559692"/>
    <n v="10"/>
    <n v="60"/>
  </r>
  <r>
    <x v="0"/>
    <s v="2025-05-22 02:19:27"/>
    <n v="13"/>
    <x v="4"/>
    <x v="3"/>
    <x v="2"/>
    <n v="0.625929991673979"/>
    <n v="0"/>
    <s v="Unnamed ProjectrFresadora.ScheduledUtilizationScheduled UtilizationResource"/>
    <n v="13"/>
    <n v="0.5508272599640216"/>
    <n v="0.26071930751958244"/>
    <n v="0.95"/>
    <n v="0.1575511007238469"/>
    <n v="0.146598355861076"/>
    <n v="0.91769977116840795"/>
  </r>
  <r>
    <x v="0"/>
    <s v="2025-05-22 02:19:27"/>
    <n v="13"/>
    <x v="5"/>
    <x v="2"/>
    <x v="2"/>
    <n v="14"/>
    <n v="0"/>
    <s v="Unnamed ProjectrTaladro.NumberSeizedTotal Number SeizedResource"/>
    <n v="13"/>
    <n v="11.153846153846153"/>
    <n v="5.6693055695583769"/>
    <n v="0.95"/>
    <n v="3.4259270681618781"/>
    <n v="4"/>
    <n v="22"/>
  </r>
  <r>
    <x v="0"/>
    <s v="2025-05-22 02:19:27"/>
    <n v="13"/>
    <x v="6"/>
    <x v="3"/>
    <x v="2"/>
    <n v="0.366284911322244"/>
    <n v="0"/>
    <s v="Unnamed ProjectrTaladro.ScheduledUtilizationScheduled UtilizationResource"/>
    <n v="13"/>
    <n v="0.28215676683758301"/>
    <n v="0.13987907795908774"/>
    <n v="0.95"/>
    <n v="8.4528080832815961E-2"/>
    <n v="0.105150492315538"/>
    <n v="0.5331665615698080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2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0">
        <item m="1" x="21"/>
        <item m="1" x="12"/>
        <item m="1" x="28"/>
        <item m="1" x="37"/>
        <item m="1" x="50"/>
        <item m="1" x="49"/>
        <item m="1" x="13"/>
        <item m="1" x="114"/>
        <item m="1" x="92"/>
        <item m="1" x="55"/>
        <item m="1" x="42"/>
        <item m="1" x="46"/>
        <item m="1" x="128"/>
        <item m="1" x="31"/>
        <item m="1" x="113"/>
        <item m="1" x="35"/>
        <item m="1" x="86"/>
        <item m="1" x="100"/>
        <item m="1" x="10"/>
        <item m="1" x="36"/>
        <item m="1" x="123"/>
        <item m="1" x="25"/>
        <item m="1" x="115"/>
        <item m="1" x="14"/>
        <item m="1" x="41"/>
        <item m="1" x="67"/>
        <item m="1" x="11"/>
        <item m="1" x="17"/>
        <item m="1" x="87"/>
        <item m="1" x="68"/>
        <item m="1" x="102"/>
        <item m="1" x="58"/>
        <item m="1" x="22"/>
        <item m="1" x="52"/>
        <item m="1" x="88"/>
        <item m="1" x="73"/>
        <item m="1" x="23"/>
        <item m="1" x="33"/>
        <item m="1" x="95"/>
        <item m="1" x="9"/>
        <item m="1" x="122"/>
        <item m="1" x="80"/>
        <item m="1" x="20"/>
        <item m="1" x="105"/>
        <item m="1" x="51"/>
        <item m="1" x="124"/>
        <item m="1" x="85"/>
        <item m="1" x="27"/>
        <item m="1" x="72"/>
        <item m="1" x="91"/>
        <item m="1" x="104"/>
        <item m="1" x="112"/>
        <item m="1" x="121"/>
        <item m="1" x="8"/>
        <item m="1" x="26"/>
        <item m="1" x="40"/>
        <item m="1" x="29"/>
        <item m="1" x="7"/>
        <item m="1" x="101"/>
        <item m="1" x="118"/>
        <item m="1" x="44"/>
        <item m="1" x="79"/>
        <item m="1" x="32"/>
        <item m="1" x="53"/>
        <item m="1" x="38"/>
        <item m="1" x="62"/>
        <item m="1" x="47"/>
        <item m="1" x="69"/>
        <item m="1" x="54"/>
        <item m="1" x="81"/>
        <item m="1" x="63"/>
        <item m="1" x="89"/>
        <item m="1" x="70"/>
        <item m="1" x="98"/>
        <item m="1" x="82"/>
        <item m="1" x="103"/>
        <item m="1" x="90"/>
        <item m="1" x="107"/>
        <item m="1" x="119"/>
        <item m="1" x="109"/>
        <item m="1" x="93"/>
        <item m="1" x="66"/>
        <item m="1" x="45"/>
        <item m="1" x="60"/>
        <item m="1" x="24"/>
        <item m="1" x="30"/>
        <item m="1" x="39"/>
        <item m="1" x="43"/>
        <item m="1" x="75"/>
        <item m="1" x="120"/>
        <item m="1" x="110"/>
        <item m="1" x="94"/>
        <item m="1" x="61"/>
        <item m="1" x="129"/>
        <item m="1" x="77"/>
        <item m="1" x="65"/>
        <item m="1" x="97"/>
        <item m="1" x="78"/>
        <item m="1" x="57"/>
        <item m="1" x="64"/>
        <item m="1" x="18"/>
        <item m="1" x="83"/>
        <item m="1" x="99"/>
        <item m="1" x="108"/>
        <item m="1" x="116"/>
        <item m="1" x="127"/>
        <item m="1" x="15"/>
        <item m="1" x="34"/>
        <item m="1" x="126"/>
        <item m="1" x="16"/>
        <item m="1" x="84"/>
        <item m="1" x="59"/>
        <item m="1" x="74"/>
        <item m="1" x="19"/>
        <item m="1" x="125"/>
        <item m="1" x="106"/>
        <item m="1" x="56"/>
        <item m="1" x="117"/>
        <item m="1" x="76"/>
        <item m="1" x="96"/>
        <item m="1" x="111"/>
        <item m="1" x="48"/>
        <item m="1" x="71"/>
        <item m="1" x="6"/>
        <item x="0"/>
        <item x="1"/>
        <item x="2"/>
        <item x="3"/>
        <item x="4"/>
        <item x="5"/>
      </items>
    </pivotField>
    <pivotField axis="axisRow" compact="0" outline="0" showAll="0" defaultSubtotal="0">
      <items count="8">
        <item x="3"/>
        <item x="4"/>
        <item x="5"/>
        <item x="0"/>
        <item x="1"/>
        <item m="1" x="7"/>
        <item m="1" x="6"/>
        <item x="2"/>
      </items>
    </pivotField>
    <pivotField axis="axisRow" compact="0" outline="0" showAll="0" defaultSubtotal="0">
      <items count="5">
        <item x="1"/>
        <item x="0"/>
        <item x="3"/>
        <item x="2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0">
    <i>
      <x v="3"/>
      <x v="124"/>
      <x v="3"/>
      <x v="1"/>
    </i>
    <i r="1">
      <x v="125"/>
      <x v="4"/>
      <x/>
    </i>
    <i r="1">
      <x v="126"/>
      <x v="3"/>
      <x v="1"/>
    </i>
    <i r="1">
      <x v="127"/>
      <x v="7"/>
      <x v="3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67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1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3">
        <item m="1" x="14"/>
        <item m="1" x="37"/>
        <item m="1" x="9"/>
        <item m="1" x="89"/>
        <item m="1" x="72"/>
        <item m="1" x="42"/>
        <item m="1" x="98"/>
        <item m="1" x="30"/>
        <item m="1" x="34"/>
        <item m="1" x="101"/>
        <item m="1" x="67"/>
        <item m="1" x="79"/>
        <item m="1" x="84"/>
        <item m="1" x="8"/>
        <item m="1" x="36"/>
        <item m="1" x="26"/>
        <item m="1" x="102"/>
        <item m="1" x="96"/>
        <item m="1" x="24"/>
        <item m="1" x="18"/>
        <item m="1" x="90"/>
        <item m="1" x="10"/>
        <item m="1" x="43"/>
        <item m="1" x="29"/>
        <item m="1" x="54"/>
        <item m="1" x="81"/>
        <item m="1" x="45"/>
        <item m="1" x="15"/>
        <item m="1" x="39"/>
        <item m="1" x="68"/>
        <item m="1" x="58"/>
        <item m="1" x="16"/>
        <item m="1" x="75"/>
        <item m="1" x="7"/>
        <item m="1" x="95"/>
        <item m="1" x="63"/>
        <item m="1" x="83"/>
        <item m="1" x="38"/>
        <item m="1" x="97"/>
        <item m="1" x="66"/>
        <item m="1" x="20"/>
        <item m="1" x="57"/>
        <item m="1" x="71"/>
        <item m="1" x="82"/>
        <item m="1" x="88"/>
        <item m="1" x="6"/>
        <item m="1" x="19"/>
        <item m="1" x="28"/>
        <item m="1" x="21"/>
        <item m="1" x="5"/>
        <item m="1" x="80"/>
        <item m="1" x="92"/>
        <item m="1" x="32"/>
        <item m="1" x="62"/>
        <item m="1" x="23"/>
        <item m="1" x="40"/>
        <item m="1" x="27"/>
        <item m="1" x="48"/>
        <item m="1" x="35"/>
        <item m="1" x="55"/>
        <item m="1" x="41"/>
        <item m="1" x="64"/>
        <item m="1" x="49"/>
        <item m="1" x="69"/>
        <item m="1" x="56"/>
        <item m="1" x="77"/>
        <item m="1" x="70"/>
        <item m="1" x="85"/>
        <item m="1" x="93"/>
        <item m="1" x="73"/>
        <item m="1" x="52"/>
        <item m="1" x="33"/>
        <item m="1" x="46"/>
        <item m="1" x="17"/>
        <item m="1" x="22"/>
        <item m="1" x="31"/>
        <item m="1" x="59"/>
        <item m="1" x="94"/>
        <item m="1" x="87"/>
        <item m="1" x="74"/>
        <item m="1" x="47"/>
        <item m="1" x="60"/>
        <item m="1" x="51"/>
        <item m="1" x="76"/>
        <item m="1" x="61"/>
        <item m="1" x="44"/>
        <item m="1" x="50"/>
        <item m="1" x="13"/>
        <item m="1" x="53"/>
        <item m="1" x="65"/>
        <item m="1" x="78"/>
        <item m="1" x="86"/>
        <item m="1" x="91"/>
        <item m="1" x="100"/>
        <item m="1" x="11"/>
        <item m="1" x="25"/>
        <item m="1" x="99"/>
        <item m="1" x="12"/>
        <item m="1" x="4"/>
        <item x="0"/>
        <item x="1"/>
        <item x="2"/>
        <item x="3"/>
      </items>
    </pivotField>
    <pivotField axis="axisRow" compact="0" outline="0" showAll="0" defaultSubtotal="0">
      <items count="13">
        <item m="1" x="12"/>
        <item x="1"/>
        <item x="2"/>
        <item x="3"/>
        <item x="4"/>
        <item x="5"/>
        <item x="6"/>
        <item x="0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9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12"/>
      <x v="2"/>
    </i>
    <i r="1">
      <x v="102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2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3"/>
        <item x="4"/>
        <item x="5"/>
        <item x="6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18" tableType="queryTable" totalsRowShown="0">
  <autoFilter ref="A1:Y118" xr:uid="{C3D003CA-1AFF-426C-A03D-D3AF5760DF1A}"/>
  <sortState xmlns:xlrd2="http://schemas.microsoft.com/office/spreadsheetml/2017/richdata2" ref="A2:Y118">
    <sortCondition ref="D1:D118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31" tableType="queryTable" totalsRowShown="0">
  <autoFilter ref="A1:U13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92" tableType="queryTable" totalsRowShown="0">
  <autoFilter ref="A1:P9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6.4257812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67</v>
      </c>
      <c r="B2" t="s">
        <v>69</v>
      </c>
      <c r="C2" t="s">
        <v>107</v>
      </c>
      <c r="D2">
        <v>2</v>
      </c>
      <c r="E2">
        <v>13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1"/>
  <sheetViews>
    <sheetView tabSelected="1" zoomScale="85" zoomScaleNormal="85" workbookViewId="0">
      <selection activeCell="F15" sqref="F15"/>
    </sheetView>
  </sheetViews>
  <sheetFormatPr defaultRowHeight="15" x14ac:dyDescent="0.25"/>
  <cols>
    <col min="1" max="1" width="33.28515625" customWidth="1"/>
    <col min="2" max="2" width="28.7109375" bestFit="1" customWidth="1"/>
    <col min="3" max="3" width="12.5703125" bestFit="1" customWidth="1"/>
    <col min="4" max="4" width="13.85546875" bestFit="1" customWidth="1"/>
    <col min="5" max="5" width="30.5703125" bestFit="1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18.28515625" bestFit="1" customWidth="1"/>
    <col min="17" max="17" width="12.5703125" bestFit="1" customWidth="1"/>
    <col min="18" max="18" width="13.8554687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67</v>
      </c>
      <c r="B3" t="s">
        <v>70</v>
      </c>
      <c r="C3" t="s">
        <v>71</v>
      </c>
      <c r="D3" t="s">
        <v>72</v>
      </c>
      <c r="E3" s="5">
        <v>43.456591861955026</v>
      </c>
      <c r="F3" s="5">
        <v>1</v>
      </c>
      <c r="G3" s="5">
        <v>17.814879086278292</v>
      </c>
      <c r="H3" s="5">
        <v>29.480485490613585</v>
      </c>
      <c r="I3" s="5">
        <v>10.358145786849899</v>
      </c>
      <c r="J3" s="5">
        <v>113.873566767393</v>
      </c>
      <c r="K3" s="5">
        <v>0</v>
      </c>
      <c r="L3" s="5">
        <v>194.47643588869599</v>
      </c>
      <c r="M3" s="5">
        <v>32.692307692307693</v>
      </c>
      <c r="O3" t="s">
        <v>67</v>
      </c>
      <c r="P3" t="s">
        <v>70</v>
      </c>
      <c r="Q3" t="s">
        <v>85</v>
      </c>
      <c r="R3" t="s">
        <v>72</v>
      </c>
      <c r="S3" s="5">
        <v>4.0403136140171361</v>
      </c>
      <c r="T3" s="5">
        <v>2.4606143009614683</v>
      </c>
      <c r="U3" s="5">
        <v>4.0718830504644874</v>
      </c>
      <c r="V3" s="5">
        <v>0.215794703892706</v>
      </c>
      <c r="W3" s="5">
        <v>14.2341958459241</v>
      </c>
      <c r="X3" s="5">
        <v>0</v>
      </c>
      <c r="Y3" s="5">
        <v>28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99</v>
      </c>
      <c r="AM3" t="s">
        <v>98</v>
      </c>
      <c r="AN3" t="s">
        <v>100</v>
      </c>
      <c r="AO3" s="5">
        <v>31.76923076923077</v>
      </c>
      <c r="AP3" s="5">
        <v>9.6281868153630583</v>
      </c>
      <c r="AQ3" s="5">
        <v>15.932952468358597</v>
      </c>
      <c r="AR3" s="5">
        <v>10</v>
      </c>
      <c r="AS3" s="5">
        <v>60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B4" t="s">
        <v>73</v>
      </c>
      <c r="C4" t="s">
        <v>74</v>
      </c>
      <c r="D4" t="s">
        <v>75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31.76923076923077</v>
      </c>
      <c r="P4" t="s">
        <v>73</v>
      </c>
      <c r="Q4" t="s">
        <v>86</v>
      </c>
      <c r="R4" t="s">
        <v>75</v>
      </c>
      <c r="S4" s="5">
        <v>5.9883645316398173</v>
      </c>
      <c r="T4" s="5">
        <v>2.9731441000168419</v>
      </c>
      <c r="U4" s="5">
        <v>4.9200295481972205</v>
      </c>
      <c r="V4" s="5">
        <v>0.76491535215578299</v>
      </c>
      <c r="W4" s="5">
        <v>17.793092708137898</v>
      </c>
      <c r="X4" s="5">
        <v>0</v>
      </c>
      <c r="Y4" s="5">
        <v>39</v>
      </c>
      <c r="AL4" t="s">
        <v>95</v>
      </c>
      <c r="AM4" t="s">
        <v>96</v>
      </c>
      <c r="AN4" t="s">
        <v>75</v>
      </c>
      <c r="AO4" s="5">
        <v>38.46153846153846</v>
      </c>
      <c r="AP4" s="5">
        <v>13.01832866440059</v>
      </c>
      <c r="AQ4" s="5">
        <v>21.543039806456381</v>
      </c>
      <c r="AR4" s="5">
        <v>10</v>
      </c>
      <c r="AS4" s="5">
        <v>70</v>
      </c>
    </row>
    <row r="5" spans="1:52" x14ac:dyDescent="0.25">
      <c r="C5" t="s">
        <v>76</v>
      </c>
      <c r="D5" t="s">
        <v>75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31.76923076923077</v>
      </c>
      <c r="P5" t="s">
        <v>84</v>
      </c>
      <c r="Q5" t="s">
        <v>85</v>
      </c>
      <c r="R5" t="s">
        <v>72</v>
      </c>
      <c r="S5" s="5">
        <v>0.5642396308570482</v>
      </c>
      <c r="T5" s="5">
        <v>0.29482375421631829</v>
      </c>
      <c r="U5" s="5">
        <v>0.48788135840657837</v>
      </c>
      <c r="V5" s="5">
        <v>0.131443895620979</v>
      </c>
      <c r="W5" s="5">
        <v>1.4695242868288101</v>
      </c>
      <c r="X5" s="5">
        <v>0</v>
      </c>
      <c r="Y5" s="5">
        <v>9</v>
      </c>
      <c r="AL5" t="s">
        <v>97</v>
      </c>
      <c r="AM5" t="s">
        <v>98</v>
      </c>
      <c r="AN5" t="s">
        <v>75</v>
      </c>
      <c r="AO5" s="5">
        <v>31.76923076923077</v>
      </c>
      <c r="AP5" s="5">
        <v>9.6281868153630583</v>
      </c>
      <c r="AQ5" s="5">
        <v>15.932952468358597</v>
      </c>
      <c r="AR5" s="5">
        <v>10</v>
      </c>
      <c r="AS5" s="5">
        <v>60</v>
      </c>
    </row>
    <row r="6" spans="1:52" x14ac:dyDescent="0.25">
      <c r="C6" t="s">
        <v>77</v>
      </c>
      <c r="D6" t="s">
        <v>75</v>
      </c>
      <c r="E6" s="5">
        <v>70.99858296109538</v>
      </c>
      <c r="F6" s="5">
        <v>1</v>
      </c>
      <c r="G6" s="5">
        <v>17.74882746547117</v>
      </c>
      <c r="H6" s="5">
        <v>29.371181698013853</v>
      </c>
      <c r="I6" s="5">
        <v>36.715936903477598</v>
      </c>
      <c r="J6" s="5">
        <v>142.34474166510299</v>
      </c>
      <c r="K6" s="5">
        <v>4.9607846640384402E-2</v>
      </c>
      <c r="L6" s="5">
        <v>325.009989822124</v>
      </c>
      <c r="M6" s="5">
        <v>31.76923076923077</v>
      </c>
      <c r="P6" t="s">
        <v>87</v>
      </c>
      <c r="Q6" t="s">
        <v>88</v>
      </c>
      <c r="R6" t="s">
        <v>83</v>
      </c>
      <c r="S6" s="5">
        <v>5.9883645316398173</v>
      </c>
      <c r="T6" s="5">
        <v>2.9731441000168419</v>
      </c>
      <c r="U6" s="5">
        <v>4.9200295481972205</v>
      </c>
      <c r="V6" s="5">
        <v>0.76491535215578299</v>
      </c>
      <c r="W6" s="5">
        <v>17.793092708137898</v>
      </c>
      <c r="X6" s="5">
        <v>0</v>
      </c>
      <c r="Y6" s="5">
        <v>39</v>
      </c>
      <c r="AL6" t="s">
        <v>101</v>
      </c>
      <c r="AM6" t="s">
        <v>102</v>
      </c>
      <c r="AN6" t="s">
        <v>91</v>
      </c>
      <c r="AO6" s="5">
        <v>32.692307692307693</v>
      </c>
      <c r="AP6" s="5">
        <v>9.9735496808559692</v>
      </c>
      <c r="AQ6" s="5">
        <v>16.504467149757847</v>
      </c>
      <c r="AR6" s="5">
        <v>10</v>
      </c>
      <c r="AS6" s="5">
        <v>60</v>
      </c>
    </row>
    <row r="7" spans="1:52" x14ac:dyDescent="0.25">
      <c r="C7" t="s">
        <v>78</v>
      </c>
      <c r="D7" t="s">
        <v>75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31.76923076923077</v>
      </c>
      <c r="P7" t="s">
        <v>89</v>
      </c>
      <c r="Q7" t="s">
        <v>90</v>
      </c>
      <c r="R7" t="s">
        <v>91</v>
      </c>
      <c r="S7" s="5">
        <v>0.5508272599640216</v>
      </c>
      <c r="T7" s="5">
        <v>0.1575511007238469</v>
      </c>
      <c r="U7" s="5">
        <v>0.26071930751958244</v>
      </c>
      <c r="V7" s="5">
        <v>0.146598355861076</v>
      </c>
      <c r="W7" s="5">
        <v>0.91769977116840795</v>
      </c>
      <c r="X7" s="5">
        <v>0</v>
      </c>
      <c r="Y7" s="5">
        <v>1</v>
      </c>
      <c r="AL7" t="s">
        <v>103</v>
      </c>
      <c r="AM7" t="s">
        <v>104</v>
      </c>
      <c r="AN7" t="s">
        <v>91</v>
      </c>
      <c r="AO7" s="5">
        <v>0.5508272599640216</v>
      </c>
      <c r="AP7" s="5">
        <v>0.1575511007238469</v>
      </c>
      <c r="AQ7" s="5">
        <v>0.26071930751958244</v>
      </c>
      <c r="AR7" s="5">
        <v>0.146598355861076</v>
      </c>
      <c r="AS7" s="5">
        <v>0.91769977116840795</v>
      </c>
    </row>
    <row r="8" spans="1:52" x14ac:dyDescent="0.25">
      <c r="C8" t="s">
        <v>79</v>
      </c>
      <c r="D8" t="s">
        <v>75</v>
      </c>
      <c r="E8" s="5">
        <v>20.596955115100084</v>
      </c>
      <c r="F8" s="5">
        <v>1</v>
      </c>
      <c r="G8" s="5">
        <v>1.8028387874448264</v>
      </c>
      <c r="H8" s="5">
        <v>2.983380490980692</v>
      </c>
      <c r="I8" s="5">
        <v>16.8924384146191</v>
      </c>
      <c r="J8" s="5">
        <v>25.890318314723199</v>
      </c>
      <c r="K8" s="5">
        <v>4.9607846640384402E-2</v>
      </c>
      <c r="L8" s="5">
        <v>93.077852048790305</v>
      </c>
      <c r="M8" s="5">
        <v>31.76923076923077</v>
      </c>
      <c r="Q8" t="s">
        <v>92</v>
      </c>
      <c r="R8" t="s">
        <v>91</v>
      </c>
      <c r="S8" s="5">
        <v>1.1016545199280432</v>
      </c>
      <c r="T8" s="5">
        <v>0.31510220144769419</v>
      </c>
      <c r="U8" s="5">
        <v>0.52143861503916544</v>
      </c>
      <c r="V8" s="5">
        <v>0.293196711722152</v>
      </c>
      <c r="W8" s="5">
        <v>1.8353995423368199</v>
      </c>
      <c r="X8" s="5">
        <v>0</v>
      </c>
      <c r="Y8" s="5">
        <v>2</v>
      </c>
      <c r="AL8" t="s">
        <v>105</v>
      </c>
      <c r="AM8" t="s">
        <v>102</v>
      </c>
      <c r="AN8" t="s">
        <v>91</v>
      </c>
      <c r="AO8" s="5">
        <v>11.153846153846153</v>
      </c>
      <c r="AP8" s="5">
        <v>3.4259270681618781</v>
      </c>
      <c r="AQ8" s="5">
        <v>5.6693055695583769</v>
      </c>
      <c r="AR8" s="5">
        <v>4</v>
      </c>
      <c r="AS8" s="5">
        <v>22</v>
      </c>
    </row>
    <row r="9" spans="1:52" x14ac:dyDescent="0.25">
      <c r="C9" t="s">
        <v>80</v>
      </c>
      <c r="D9" t="s">
        <v>75</v>
      </c>
      <c r="E9" s="5">
        <v>50.401627845995328</v>
      </c>
      <c r="F9" s="5">
        <v>1</v>
      </c>
      <c r="G9" s="5">
        <v>17.939638664214318</v>
      </c>
      <c r="H9" s="5">
        <v>29.686940606550408</v>
      </c>
      <c r="I9" s="5">
        <v>17.566986459625902</v>
      </c>
      <c r="J9" s="5">
        <v>124.925047565667</v>
      </c>
      <c r="K9" s="5">
        <v>0</v>
      </c>
      <c r="L9" s="5">
        <v>294.70447078008698</v>
      </c>
      <c r="M9" s="5">
        <v>31.76923076923077</v>
      </c>
      <c r="Q9" t="s">
        <v>93</v>
      </c>
      <c r="R9" t="s">
        <v>91</v>
      </c>
      <c r="S9" s="5">
        <v>2</v>
      </c>
      <c r="T9" s="5">
        <v>0</v>
      </c>
      <c r="U9" s="5">
        <v>0</v>
      </c>
      <c r="V9" s="5">
        <v>2</v>
      </c>
      <c r="W9" s="5">
        <v>2</v>
      </c>
      <c r="X9" s="5">
        <v>2</v>
      </c>
      <c r="Y9" s="5">
        <v>2</v>
      </c>
      <c r="AL9" t="s">
        <v>106</v>
      </c>
      <c r="AM9" t="s">
        <v>104</v>
      </c>
      <c r="AN9" t="s">
        <v>91</v>
      </c>
      <c r="AO9" s="5">
        <v>0.28215676683758301</v>
      </c>
      <c r="AP9" s="5">
        <v>8.4528080832815961E-2</v>
      </c>
      <c r="AQ9" s="5">
        <v>0.13987907795908774</v>
      </c>
      <c r="AR9" s="5">
        <v>0.105150492315538</v>
      </c>
      <c r="AS9" s="5">
        <v>0.53316656156980802</v>
      </c>
    </row>
    <row r="10" spans="1:52" x14ac:dyDescent="0.25">
      <c r="B10" t="s">
        <v>81</v>
      </c>
      <c r="C10" t="s">
        <v>82</v>
      </c>
      <c r="D10" t="s">
        <v>83</v>
      </c>
      <c r="E10" s="5">
        <v>70.99858296109538</v>
      </c>
      <c r="F10" s="5">
        <v>1</v>
      </c>
      <c r="G10" s="5">
        <v>17.74882746547117</v>
      </c>
      <c r="H10" s="5">
        <v>29.371181698013853</v>
      </c>
      <c r="I10" s="5">
        <v>36.715936903477598</v>
      </c>
      <c r="J10" s="5">
        <v>142.34474166510299</v>
      </c>
      <c r="K10" s="5">
        <v>4.9607846640384402E-2</v>
      </c>
      <c r="L10" s="5">
        <v>325.009989822124</v>
      </c>
      <c r="M10" s="5">
        <v>31.76923076923077</v>
      </c>
      <c r="P10" t="s">
        <v>94</v>
      </c>
      <c r="Q10" t="s">
        <v>90</v>
      </c>
      <c r="R10" t="s">
        <v>91</v>
      </c>
      <c r="S10" s="5">
        <v>0.28215676683758301</v>
      </c>
      <c r="T10" s="5">
        <v>8.4528080832815961E-2</v>
      </c>
      <c r="U10" s="5">
        <v>0.13987907795908774</v>
      </c>
      <c r="V10" s="5">
        <v>0.105150492315538</v>
      </c>
      <c r="W10" s="5">
        <v>0.53316656156980802</v>
      </c>
      <c r="X10" s="5">
        <v>0</v>
      </c>
      <c r="Y10" s="5">
        <v>1</v>
      </c>
    </row>
    <row r="11" spans="1:52" x14ac:dyDescent="0.25">
      <c r="B11" t="s">
        <v>84</v>
      </c>
      <c r="C11" t="s">
        <v>71</v>
      </c>
      <c r="D11" t="s">
        <v>72</v>
      </c>
      <c r="E11" s="5">
        <v>20.938243011628575</v>
      </c>
      <c r="F11" s="5">
        <v>1</v>
      </c>
      <c r="G11" s="5">
        <v>5.610237056325496</v>
      </c>
      <c r="H11" s="5">
        <v>9.2839536736063586</v>
      </c>
      <c r="I11" s="5">
        <v>7.0086507898075601</v>
      </c>
      <c r="J11" s="5">
        <v>41.443052993527601</v>
      </c>
      <c r="K11" s="5">
        <v>0</v>
      </c>
      <c r="L11" s="5">
        <v>108.07779702901701</v>
      </c>
      <c r="M11" s="5">
        <v>11.153846153846153</v>
      </c>
      <c r="Q11" t="s">
        <v>92</v>
      </c>
      <c r="R11" t="s">
        <v>91</v>
      </c>
      <c r="S11" s="5">
        <v>0.28215676683758301</v>
      </c>
      <c r="T11" s="5">
        <v>8.4528080832815961E-2</v>
      </c>
      <c r="U11" s="5">
        <v>0.13987907795908774</v>
      </c>
      <c r="V11" s="5">
        <v>0.105150492315538</v>
      </c>
      <c r="W11" s="5">
        <v>0.53316656156980802</v>
      </c>
      <c r="X11" s="5">
        <v>0</v>
      </c>
      <c r="Y11" s="5">
        <v>1</v>
      </c>
    </row>
    <row r="12" spans="1:52" x14ac:dyDescent="0.25">
      <c r="Q12" t="s">
        <v>93</v>
      </c>
      <c r="R12" t="s">
        <v>91</v>
      </c>
      <c r="S12" s="5">
        <v>1</v>
      </c>
      <c r="T12" s="5">
        <v>0</v>
      </c>
      <c r="U12" s="5">
        <v>0</v>
      </c>
      <c r="V12" s="5">
        <v>1</v>
      </c>
      <c r="W12" s="5">
        <v>1</v>
      </c>
      <c r="X12" s="5">
        <v>1</v>
      </c>
      <c r="Y12" s="5">
        <v>1</v>
      </c>
    </row>
    <row r="14" spans="1:52" x14ac:dyDescent="0.25">
      <c r="H14" s="6" t="s">
        <v>112</v>
      </c>
      <c r="I14" s="6"/>
      <c r="J14" s="6"/>
    </row>
    <row r="15" spans="1:52" x14ac:dyDescent="0.25">
      <c r="B15" s="6" t="s">
        <v>108</v>
      </c>
      <c r="C15" s="6"/>
      <c r="D15" s="7">
        <f>GETPIVOTDATA("Average Of Replication Averages",$O$2,"Project Name","Unnamed Project","Name","TrabajadoresWip","Type","Time Persistent","Source","User Specified")-GETPIVOTDATA("Half-Width",$O$2,"Project Name","Unnamed Project","Name","TrabajadoresWip","Type","Time Persistent","Source","User Specified")</f>
        <v>3.0152204316229754</v>
      </c>
      <c r="E15" s="7">
        <f>GETPIVOTDATA("Average Of Replication Averages",$O$2,"Project Name","Unnamed Project","Name","TrabajadoresWip","Type","Time Persistent","Source","User Specified")+GETPIVOTDATA("Half-Width",$O$2,"Project Name","Unnamed Project","Name","TrabajadoresWip","Type","Time Persistent","Source","User Specified")</f>
        <v>8.9615086316566597</v>
      </c>
      <c r="H15" s="7" t="s">
        <v>113</v>
      </c>
      <c r="I15" s="7" t="s">
        <v>114</v>
      </c>
      <c r="J15" s="7" t="s">
        <v>115</v>
      </c>
    </row>
    <row r="16" spans="1:52" x14ac:dyDescent="0.25">
      <c r="H16" s="7" t="s">
        <v>116</v>
      </c>
      <c r="I16" s="7">
        <f>GETPIVOTDATA("Average Of Replication Averages",$O$2,"Project Name","Unnamed Project","Name","rTaladro","Type","Instantaneous Utilization","Source","Resource")-GETPIVOTDATA("Half-Width",$O$2,"Project Name","Unnamed Project","Name","rTaladro","Type","Instantaneous Utilization","Source","Resource")</f>
        <v>0.19762868600476705</v>
      </c>
      <c r="J16" s="7">
        <f>GETPIVOTDATA("Average Of Replication Averages",$O$2,"Project Name","Unnamed Project","Name","rTaladro","Type","Instantaneous Utilization","Source","Resource")+GETPIVOTDATA("Half-Width",$O$2,"Project Name","Unnamed Project","Name","rTaladro","Type","Instantaneous Utilization","Source","Resource")</f>
        <v>0.36668484767039899</v>
      </c>
    </row>
    <row r="17" spans="2:10" x14ac:dyDescent="0.25">
      <c r="H17" s="7" t="s">
        <v>117</v>
      </c>
      <c r="I17" s="7">
        <f>GETPIVOTDATA("Average Of Replication Averages",$O$2,"Project Name","Unnamed Project","Name","rFresadora","Type","Instantaneous Utilization","Source","Resource")-GETPIVOTDATA("Half-Width",$O$2,"Project Name","Unnamed Project","Name","rFresadora","Type","Instantaneous Utilization","Source","Resource")</f>
        <v>0.39327615924017467</v>
      </c>
      <c r="J17" s="7">
        <f>GETPIVOTDATA("Average Of Replication Averages",$O$2,"Project Name","Unnamed Project","Name","rFresadora","Type","Instantaneous Utilization","Source","Resource")+GETPIVOTDATA("Half-Width",$O$2,"Project Name","Unnamed Project","Name","rFresadora","Type","Instantaneous Utilization","Source","Resource")</f>
        <v>0.70837836068786852</v>
      </c>
    </row>
    <row r="18" spans="2:10" x14ac:dyDescent="0.25">
      <c r="B18" s="7" t="s">
        <v>109</v>
      </c>
      <c r="C18" s="7" t="s">
        <v>110</v>
      </c>
      <c r="E18" s="7" t="s">
        <v>111</v>
      </c>
      <c r="F18" s="7">
        <v>13</v>
      </c>
    </row>
    <row r="21" spans="2:10" x14ac:dyDescent="0.25">
      <c r="B21" s="6" t="s">
        <v>118</v>
      </c>
      <c r="C21" s="6"/>
      <c r="D21" s="7">
        <f>GETPIVOTDATA("Average Of Replication Averages",$A$2,"Project Name","Unnamed Project","Name","Sistema","Type","Expression","Source","User Specified")-GETPIVOTDATA("Half-Width",$A$2,"Project Name","Unnamed Project","Name","Sistema","Type","Expression","Source","User Specified")</f>
        <v>53.249755495624214</v>
      </c>
      <c r="E21" s="7">
        <f>GETPIVOTDATA("Average Of Replication Averages",$A$2,"Project Name","Unnamed Project","Name","Sistema","Type","Expression","Source","User Specified")+GETPIVOTDATA("Half-Width",$A$2,"Project Name","Unnamed Project","Name","Sistema","Type","Expression","Source","User Specified")</f>
        <v>88.747410426566546</v>
      </c>
    </row>
  </sheetData>
  <dataConsolidate/>
  <mergeCells count="3">
    <mergeCell ref="B15:C15"/>
    <mergeCell ref="H14:J14"/>
    <mergeCell ref="B21:C21"/>
  </mergeCells>
  <conditionalFormatting pivot="1" sqref="G3:G11">
    <cfRule type="expression" dxfId="31" priority="14">
      <formula>G3=200000000000000000000</formula>
    </cfRule>
  </conditionalFormatting>
  <conditionalFormatting pivot="1" sqref="T3:T12">
    <cfRule type="expression" dxfId="30" priority="13">
      <formula>T3=200000000000000000000</formula>
    </cfRule>
  </conditionalFormatting>
  <conditionalFormatting pivot="1" sqref="T3:T12">
    <cfRule type="expression" dxfId="29" priority="12">
      <formula>T3=300000000000000000000</formula>
    </cfRule>
  </conditionalFormatting>
  <conditionalFormatting pivot="1" sqref="G3:G11">
    <cfRule type="expression" dxfId="28" priority="11">
      <formula>G3=300000000000000000000</formula>
    </cfRule>
  </conditionalFormatting>
  <conditionalFormatting pivot="1" sqref="F3:F11">
    <cfRule type="expression" dxfId="27" priority="10">
      <formula>F3=0</formula>
    </cfRule>
  </conditionalFormatting>
  <conditionalFormatting pivot="1" sqref="F3:F11">
    <cfRule type="expression" dxfId="26" priority="9">
      <formula>F3=1</formula>
    </cfRule>
  </conditionalFormatting>
  <conditionalFormatting pivot="1" sqref="T3:T12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1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18"/>
  <sheetViews>
    <sheetView workbookViewId="0">
      <selection activeCell="A2" sqref="A2:K6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6.42578125" bestFit="1" customWidth="1"/>
    <col min="5" max="5" width="13.285156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0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67</v>
      </c>
      <c r="B2" t="s">
        <v>107</v>
      </c>
      <c r="C2">
        <v>1</v>
      </c>
      <c r="D2" t="s">
        <v>70</v>
      </c>
      <c r="E2" t="s">
        <v>71</v>
      </c>
      <c r="F2" t="s">
        <v>72</v>
      </c>
      <c r="G2">
        <v>70.910890321829299</v>
      </c>
      <c r="H2">
        <v>2E+20</v>
      </c>
      <c r="I2">
        <v>0</v>
      </c>
      <c r="J2">
        <v>176.495028449502</v>
      </c>
      <c r="K2">
        <v>47</v>
      </c>
      <c r="L2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13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43.456591861955026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29.480485490613585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2" cm="1">
        <f t="array" ref="R2">MIN(IF((DiscreteStatsTable[GroupByKey]=DiscreteStatsTable[[#This Row],[GroupByKey]]),(DiscreteStatsTable[GroupByKey]=DiscreteStatsTable[[#This Row],[GroupByKey]])*DiscreteStatsTable[Average]))</f>
        <v>10.358145786849899</v>
      </c>
      <c r="S2" cm="1">
        <f t="array" ref="S2">MAX(IF((DiscreteStatsTable[GroupByKey]=DiscreteStatsTable[[#This Row],[GroupByKey]]),(DiscreteStatsTable[GroupByKey]=DiscreteStatsTable[[#This Row],[GroupByKey]])*DiscreteStatsTable[Average]))</f>
        <v>113.873566767393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194.47643588869599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2">
        <f>IF((DiscreteStatsTable[[#This Row],[RepsRequested]]&gt;1),DiscreteStatsTable[[#This Row],[HalfWidth]],DiscreteStatsTable[[#This Row],[BatchMeansHalfWidth]])</f>
        <v>17.814879086278292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13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67</v>
      </c>
      <c r="B3" t="s">
        <v>107</v>
      </c>
      <c r="C3">
        <v>2</v>
      </c>
      <c r="D3" t="s">
        <v>70</v>
      </c>
      <c r="E3" t="s">
        <v>71</v>
      </c>
      <c r="F3" t="s">
        <v>72</v>
      </c>
      <c r="G3">
        <v>18.956666646114801</v>
      </c>
      <c r="H3">
        <v>2E+20</v>
      </c>
      <c r="I3">
        <v>0</v>
      </c>
      <c r="J3">
        <v>57.913451852347997</v>
      </c>
      <c r="K3">
        <v>37</v>
      </c>
      <c r="L3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13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43.456591861955026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29.480485490613585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3" cm="1">
        <f t="array" ref="R3">MIN(IF((DiscreteStatsTable[GroupByKey]=DiscreteStatsTable[[#This Row],[GroupByKey]]),(DiscreteStatsTable[GroupByKey]=DiscreteStatsTable[[#This Row],[GroupByKey]])*DiscreteStatsTable[Average]))</f>
        <v>10.358145786849899</v>
      </c>
      <c r="S3" cm="1">
        <f t="array" ref="S3">MAX(IF((DiscreteStatsTable[GroupByKey]=DiscreteStatsTable[[#This Row],[GroupByKey]]),(DiscreteStatsTable[GroupByKey]=DiscreteStatsTable[[#This Row],[GroupByKey]])*DiscreteStatsTable[Average]))</f>
        <v>113.873566767393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194.47643588869599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3">
        <f>IF((DiscreteStatsTable[[#This Row],[RepsRequested]]&gt;1),DiscreteStatsTable[[#This Row],[HalfWidth]],DiscreteStatsTable[[#This Row],[BatchMeansHalfWidth]])</f>
        <v>17.814879086278292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13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67</v>
      </c>
      <c r="B4" t="s">
        <v>107</v>
      </c>
      <c r="C4">
        <v>3</v>
      </c>
      <c r="D4" t="s">
        <v>70</v>
      </c>
      <c r="E4" t="s">
        <v>71</v>
      </c>
      <c r="F4" t="s">
        <v>72</v>
      </c>
      <c r="G4">
        <v>113.873566767393</v>
      </c>
      <c r="H4">
        <v>2E+20</v>
      </c>
      <c r="I4">
        <v>0</v>
      </c>
      <c r="J4">
        <v>186.62667375107</v>
      </c>
      <c r="K4">
        <v>60</v>
      </c>
      <c r="L4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13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43.456591861955026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29.480485490613585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4" cm="1">
        <f t="array" ref="R4">MIN(IF((DiscreteStatsTable[GroupByKey]=DiscreteStatsTable[[#This Row],[GroupByKey]]),(DiscreteStatsTable[GroupByKey]=DiscreteStatsTable[[#This Row],[GroupByKey]])*DiscreteStatsTable[Average]))</f>
        <v>10.358145786849899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113.873566767393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194.47643588869599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4">
        <f>IF((DiscreteStatsTable[[#This Row],[RepsRequested]]&gt;1),DiscreteStatsTable[[#This Row],[HalfWidth]],DiscreteStatsTable[[#This Row],[BatchMeansHalfWidth]])</f>
        <v>17.814879086278292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13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67</v>
      </c>
      <c r="B5" t="s">
        <v>107</v>
      </c>
      <c r="C5">
        <v>4</v>
      </c>
      <c r="D5" t="s">
        <v>70</v>
      </c>
      <c r="E5" t="s">
        <v>71</v>
      </c>
      <c r="F5" t="s">
        <v>72</v>
      </c>
      <c r="G5">
        <v>26.838476522528602</v>
      </c>
      <c r="H5">
        <v>2E+20</v>
      </c>
      <c r="I5">
        <v>0</v>
      </c>
      <c r="J5">
        <v>42.4669428570609</v>
      </c>
      <c r="K5">
        <v>10</v>
      </c>
      <c r="L5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13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43.456591861955026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29.480485490613585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5" cm="1">
        <f t="array" ref="R5">MIN(IF((DiscreteStatsTable[GroupByKey]=DiscreteStatsTable[[#This Row],[GroupByKey]]),(DiscreteStatsTable[GroupByKey]=DiscreteStatsTable[[#This Row],[GroupByKey]])*DiscreteStatsTable[Average]))</f>
        <v>10.358145786849899</v>
      </c>
      <c r="S5" cm="1">
        <f t="array" ref="S5">MAX(IF((DiscreteStatsTable[GroupByKey]=DiscreteStatsTable[[#This Row],[GroupByKey]]),(DiscreteStatsTable[GroupByKey]=DiscreteStatsTable[[#This Row],[GroupByKey]])*DiscreteStatsTable[Average]))</f>
        <v>113.873566767393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194.47643588869599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5">
        <f>IF((DiscreteStatsTable[[#This Row],[RepsRequested]]&gt;1),DiscreteStatsTable[[#This Row],[HalfWidth]],DiscreteStatsTable[[#This Row],[BatchMeansHalfWidth]])</f>
        <v>17.814879086278292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13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67</v>
      </c>
      <c r="B6" t="s">
        <v>107</v>
      </c>
      <c r="C6">
        <v>5</v>
      </c>
      <c r="D6" t="s">
        <v>70</v>
      </c>
      <c r="E6" t="s">
        <v>71</v>
      </c>
      <c r="F6" t="s">
        <v>72</v>
      </c>
      <c r="G6">
        <v>14.9892767825901</v>
      </c>
      <c r="H6">
        <v>2E+20</v>
      </c>
      <c r="I6">
        <v>0</v>
      </c>
      <c r="J6">
        <v>34.665474948257398</v>
      </c>
      <c r="K6">
        <v>10</v>
      </c>
      <c r="L6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13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43.456591861955026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29.480485490613585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6" cm="1">
        <f t="array" ref="R6">MIN(IF((DiscreteStatsTable[GroupByKey]=DiscreteStatsTable[[#This Row],[GroupByKey]]),(DiscreteStatsTable[GroupByKey]=DiscreteStatsTable[[#This Row],[GroupByKey]])*DiscreteStatsTable[Average]))</f>
        <v>10.358145786849899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113.873566767393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194.47643588869599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6">
        <f>IF((DiscreteStatsTable[[#This Row],[RepsRequested]]&gt;1),DiscreteStatsTable[[#This Row],[HalfWidth]],DiscreteStatsTable[[#This Row],[BatchMeansHalfWidth]])</f>
        <v>17.814879086278292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13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67</v>
      </c>
      <c r="B7" t="s">
        <v>107</v>
      </c>
      <c r="C7">
        <v>6</v>
      </c>
      <c r="D7" t="s">
        <v>70</v>
      </c>
      <c r="E7" t="s">
        <v>71</v>
      </c>
      <c r="F7" t="s">
        <v>72</v>
      </c>
      <c r="G7">
        <v>57.547748492087301</v>
      </c>
      <c r="H7">
        <v>2E+20</v>
      </c>
      <c r="I7">
        <v>0</v>
      </c>
      <c r="J7">
        <v>130.51209471062899</v>
      </c>
      <c r="K7">
        <v>36</v>
      </c>
      <c r="L7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13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43.456591861955026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29.480485490613585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10.358145786849899</v>
      </c>
      <c r="S7" cm="1">
        <f t="array" ref="S7">MAX(IF((DiscreteStatsTable[GroupByKey]=DiscreteStatsTable[[#This Row],[GroupByKey]]),(DiscreteStatsTable[GroupByKey]=DiscreteStatsTable[[#This Row],[GroupByKey]])*DiscreteStatsTable[Average]))</f>
        <v>113.873566767393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194.47643588869599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7">
        <f>IF((DiscreteStatsTable[[#This Row],[RepsRequested]]&gt;1),DiscreteStatsTable[[#This Row],[HalfWidth]],DiscreteStatsTable[[#This Row],[BatchMeansHalfWidth]])</f>
        <v>17.814879086278292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13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67</v>
      </c>
      <c r="B8" t="s">
        <v>107</v>
      </c>
      <c r="C8">
        <v>7</v>
      </c>
      <c r="D8" t="s">
        <v>70</v>
      </c>
      <c r="E8" t="s">
        <v>71</v>
      </c>
      <c r="F8" t="s">
        <v>72</v>
      </c>
      <c r="G8">
        <v>39.179415333029198</v>
      </c>
      <c r="H8">
        <v>2E+20</v>
      </c>
      <c r="I8">
        <v>0</v>
      </c>
      <c r="J8">
        <v>75.325752345558598</v>
      </c>
      <c r="K8">
        <v>20</v>
      </c>
      <c r="L8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13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43.456591861955026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29.480485490613585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8" cm="1">
        <f t="array" ref="R8">MIN(IF((DiscreteStatsTable[GroupByKey]=DiscreteStatsTable[[#This Row],[GroupByKey]]),(DiscreteStatsTable[GroupByKey]=DiscreteStatsTable[[#This Row],[GroupByKey]])*DiscreteStatsTable[Average]))</f>
        <v>10.358145786849899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113.873566767393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194.47643588869599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8">
        <f>IF((DiscreteStatsTable[[#This Row],[RepsRequested]]&gt;1),DiscreteStatsTable[[#This Row],[HalfWidth]],DiscreteStatsTable[[#This Row],[BatchMeansHalfWidth]])</f>
        <v>17.814879086278292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13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67</v>
      </c>
      <c r="B9" t="s">
        <v>107</v>
      </c>
      <c r="C9">
        <v>8</v>
      </c>
      <c r="D9" t="s">
        <v>70</v>
      </c>
      <c r="E9" t="s">
        <v>71</v>
      </c>
      <c r="F9" t="s">
        <v>72</v>
      </c>
      <c r="G9">
        <v>70.6934463766883</v>
      </c>
      <c r="H9">
        <v>2E+20</v>
      </c>
      <c r="I9">
        <v>0</v>
      </c>
      <c r="J9">
        <v>194.47643588869599</v>
      </c>
      <c r="K9">
        <v>52</v>
      </c>
      <c r="L9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13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43.456591861955026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29.480485490613585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9" cm="1">
        <f t="array" ref="R9">MIN(IF((DiscreteStatsTable[GroupByKey]=DiscreteStatsTable[[#This Row],[GroupByKey]]),(DiscreteStatsTable[GroupByKey]=DiscreteStatsTable[[#This Row],[GroupByKey]])*DiscreteStatsTable[Average]))</f>
        <v>10.358145786849899</v>
      </c>
      <c r="S9" cm="1">
        <f t="array" ref="S9">MAX(IF((DiscreteStatsTable[GroupByKey]=DiscreteStatsTable[[#This Row],[GroupByKey]]),(DiscreteStatsTable[GroupByKey]=DiscreteStatsTable[[#This Row],[GroupByKey]])*DiscreteStatsTable[Average]))</f>
        <v>113.873566767393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194.47643588869599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9">
        <f>IF((DiscreteStatsTable[[#This Row],[RepsRequested]]&gt;1),DiscreteStatsTable[[#This Row],[HalfWidth]],DiscreteStatsTable[[#This Row],[BatchMeansHalfWidth]])</f>
        <v>17.814879086278292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13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67</v>
      </c>
      <c r="B10" t="s">
        <v>107</v>
      </c>
      <c r="C10">
        <v>9</v>
      </c>
      <c r="D10" t="s">
        <v>70</v>
      </c>
      <c r="E10" t="s">
        <v>71</v>
      </c>
      <c r="F10" t="s">
        <v>72</v>
      </c>
      <c r="G10">
        <v>10.358145786849899</v>
      </c>
      <c r="H10">
        <v>2E+20</v>
      </c>
      <c r="I10">
        <v>0</v>
      </c>
      <c r="J10">
        <v>23.4898101334682</v>
      </c>
      <c r="K10">
        <v>10</v>
      </c>
      <c r="L10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13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43.456591861955026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29.480485490613585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10.358145786849899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113.873566767393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194.47643588869599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10">
        <f>IF((DiscreteStatsTable[[#This Row],[RepsRequested]]&gt;1),DiscreteStatsTable[[#This Row],[HalfWidth]],DiscreteStatsTable[[#This Row],[BatchMeansHalfWidth]])</f>
        <v>17.814879086278292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13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67</v>
      </c>
      <c r="B11" t="s">
        <v>107</v>
      </c>
      <c r="C11">
        <v>10</v>
      </c>
      <c r="D11" t="s">
        <v>70</v>
      </c>
      <c r="E11" t="s">
        <v>71</v>
      </c>
      <c r="F11" t="s">
        <v>72</v>
      </c>
      <c r="G11">
        <v>41.194845862287401</v>
      </c>
      <c r="H11">
        <v>2E+20</v>
      </c>
      <c r="I11">
        <v>0</v>
      </c>
      <c r="J11">
        <v>96.3726041395701</v>
      </c>
      <c r="K11">
        <v>46</v>
      </c>
      <c r="L11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13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43.456591861955026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29.480485490613585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10.358145786849899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113.873566767393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194.47643588869599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11">
        <f>IF((DiscreteStatsTable[[#This Row],[RepsRequested]]&gt;1),DiscreteStatsTable[[#This Row],[HalfWidth]],DiscreteStatsTable[[#This Row],[BatchMeansHalfWidth]])</f>
        <v>17.814879086278292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13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67</v>
      </c>
      <c r="B12" t="s">
        <v>107</v>
      </c>
      <c r="C12">
        <v>11</v>
      </c>
      <c r="D12" t="s">
        <v>70</v>
      </c>
      <c r="E12" t="s">
        <v>71</v>
      </c>
      <c r="F12" t="s">
        <v>72</v>
      </c>
      <c r="G12">
        <v>12.510494289673501</v>
      </c>
      <c r="H12">
        <v>2E+20</v>
      </c>
      <c r="I12">
        <v>0</v>
      </c>
      <c r="J12">
        <v>51.785013969742103</v>
      </c>
      <c r="K12">
        <v>37</v>
      </c>
      <c r="L12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13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43.456591861955026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29.480485490613585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10.358145786849899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113.873566767393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194.47643588869599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12">
        <f>IF((DiscreteStatsTable[[#This Row],[RepsRequested]]&gt;1),DiscreteStatsTable[[#This Row],[HalfWidth]],DiscreteStatsTable[[#This Row],[BatchMeansHalfWidth]])</f>
        <v>17.814879086278292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13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67</v>
      </c>
      <c r="B13" t="s">
        <v>107</v>
      </c>
      <c r="C13">
        <v>12</v>
      </c>
      <c r="D13" t="s">
        <v>70</v>
      </c>
      <c r="E13" t="s">
        <v>71</v>
      </c>
      <c r="F13" t="s">
        <v>72</v>
      </c>
      <c r="G13">
        <v>46.456172200924399</v>
      </c>
      <c r="H13">
        <v>2E+20</v>
      </c>
      <c r="I13">
        <v>0</v>
      </c>
      <c r="J13">
        <v>97.637320619985005</v>
      </c>
      <c r="K13">
        <v>30</v>
      </c>
      <c r="L13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13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43.456591861955026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29.480485490613585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10.358145786849899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113.873566767393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194.47643588869599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13">
        <f>IF((DiscreteStatsTable[[#This Row],[RepsRequested]]&gt;1),DiscreteStatsTable[[#This Row],[HalfWidth]],DiscreteStatsTable[[#This Row],[BatchMeansHalfWidth]])</f>
        <v>17.814879086278292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13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67</v>
      </c>
      <c r="B14" t="s">
        <v>107</v>
      </c>
      <c r="C14">
        <v>13</v>
      </c>
      <c r="D14" t="s">
        <v>70</v>
      </c>
      <c r="E14" t="s">
        <v>71</v>
      </c>
      <c r="F14" t="s">
        <v>72</v>
      </c>
      <c r="G14">
        <v>41.426548823419502</v>
      </c>
      <c r="H14">
        <v>2E+20</v>
      </c>
      <c r="I14">
        <v>0</v>
      </c>
      <c r="J14">
        <v>78.294002100496996</v>
      </c>
      <c r="K14">
        <v>30</v>
      </c>
      <c r="L14" t="str">
        <f>DiscreteStatsTable[[#This Row],[ProjectName]]&amp;DiscreteStatsTable[[#This Row],[Name]]&amp;DiscreteStatsTable[[#This Row],[Type]]&amp;DiscreteStatsTable[[#This Row],[Source]]</f>
        <v>Unnamed ProjectFresadora.QueueWaiting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13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43.456591861955026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29.480485490613585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17.814879086278292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10.358145786849899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113.873566767393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194.47643588869599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32.692307692307693</v>
      </c>
      <c r="W14">
        <f>IF((DiscreteStatsTable[[#This Row],[RepsRequested]]&gt;1),DiscreteStatsTable[[#This Row],[HalfWidth]],DiscreteStatsTable[[#This Row],[BatchMeansHalfWidth]])</f>
        <v>17.814879086278292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13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67</v>
      </c>
      <c r="B15" t="s">
        <v>107</v>
      </c>
      <c r="C15">
        <v>1</v>
      </c>
      <c r="D15" t="s">
        <v>73</v>
      </c>
      <c r="E15" t="s">
        <v>74</v>
      </c>
      <c r="F15" t="s">
        <v>75</v>
      </c>
      <c r="G15">
        <v>0</v>
      </c>
      <c r="H15">
        <v>2E+20</v>
      </c>
      <c r="I15">
        <v>0</v>
      </c>
      <c r="J15">
        <v>0</v>
      </c>
      <c r="K15">
        <v>45</v>
      </c>
      <c r="L15" t="str">
        <f>DiscreteStatsTable[[#This Row],[ProjectName]]&amp;DiscreteStatsTable[[#This Row],[Name]]&amp;DiscreteStatsTable[[#This Row],[Type]]&amp;DiscreteStatsTable[[#This Row],[Source]]</f>
        <v>Unnamed ProjectItemsNVA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13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13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67</v>
      </c>
      <c r="B16" t="s">
        <v>107</v>
      </c>
      <c r="C16">
        <v>1</v>
      </c>
      <c r="D16" t="s">
        <v>73</v>
      </c>
      <c r="E16" t="s">
        <v>76</v>
      </c>
      <c r="F16" t="s">
        <v>75</v>
      </c>
      <c r="G16">
        <v>0</v>
      </c>
      <c r="H16">
        <v>2E+20</v>
      </c>
      <c r="I16">
        <v>0</v>
      </c>
      <c r="J16">
        <v>0</v>
      </c>
      <c r="K16">
        <v>45</v>
      </c>
      <c r="L16" t="str">
        <f>DiscreteStatsTable[[#This Row],[ProjectName]]&amp;DiscreteStatsTable[[#This Row],[Name]]&amp;DiscreteStatsTable[[#This Row],[Type]]&amp;DiscreteStatsTable[[#This Row],[Source]]</f>
        <v>Unnamed ProjectItemsOther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13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13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67</v>
      </c>
      <c r="B17" t="s">
        <v>107</v>
      </c>
      <c r="C17">
        <v>1</v>
      </c>
      <c r="D17" t="s">
        <v>73</v>
      </c>
      <c r="E17" t="s">
        <v>77</v>
      </c>
      <c r="F17" t="s">
        <v>75</v>
      </c>
      <c r="G17">
        <v>99.707053515598503</v>
      </c>
      <c r="H17">
        <v>2E+20</v>
      </c>
      <c r="I17">
        <v>0.152164008586226</v>
      </c>
      <c r="J17">
        <v>223.48797341429699</v>
      </c>
      <c r="K17">
        <v>45</v>
      </c>
      <c r="L17" t="str">
        <f>DiscreteStatsTable[[#This Row],[ProjectName]]&amp;DiscreteStatsTable[[#This Row],[Name]]&amp;DiscreteStatsTable[[#This Row],[Type]]&amp;DiscreteStatsTable[[#This Row],[Source]]</f>
        <v>Unnamed ProjectItemsTotal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13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70.99858296109538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29.371181698013853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36.715936903477598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142.34474166510299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4.9607846640384402E-2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325.009989822124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7">
        <f>IF((DiscreteStatsTable[[#This Row],[RepsRequested]]&gt;1),DiscreteStatsTable[[#This Row],[HalfWidth]],DiscreteStatsTable[[#This Row],[BatchMeansHalfWidth]])</f>
        <v>17.74882746547117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13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67</v>
      </c>
      <c r="B18" t="s">
        <v>107</v>
      </c>
      <c r="C18">
        <v>1</v>
      </c>
      <c r="D18" t="s">
        <v>73</v>
      </c>
      <c r="E18" t="s">
        <v>78</v>
      </c>
      <c r="F18" t="s">
        <v>75</v>
      </c>
      <c r="G18">
        <v>0</v>
      </c>
      <c r="H18">
        <v>2E+20</v>
      </c>
      <c r="I18">
        <v>0</v>
      </c>
      <c r="J18">
        <v>0</v>
      </c>
      <c r="K18">
        <v>45</v>
      </c>
      <c r="L18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13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13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67</v>
      </c>
      <c r="B19" t="s">
        <v>107</v>
      </c>
      <c r="C19">
        <v>1</v>
      </c>
      <c r="D19" t="s">
        <v>73</v>
      </c>
      <c r="E19" t="s">
        <v>79</v>
      </c>
      <c r="F19" t="s">
        <v>75</v>
      </c>
      <c r="G19">
        <v>19.786469207935099</v>
      </c>
      <c r="H19">
        <v>2E+20</v>
      </c>
      <c r="I19">
        <v>0.152164008586226</v>
      </c>
      <c r="J19">
        <v>55.262776574955602</v>
      </c>
      <c r="K19">
        <v>45</v>
      </c>
      <c r="L19" t="str">
        <f>DiscreteStatsTable[[#This Row],[ProjectName]]&amp;DiscreteStatsTable[[#This Row],[Name]]&amp;DiscreteStatsTable[[#This Row],[Type]]&amp;DiscreteStatsTable[[#This Row],[Source]]</f>
        <v>Unnamed ProjectItemsVA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13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20.596955115100084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2.983380490980692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16.8924384146191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25.890318314723199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4.9607846640384402E-2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93.077852048790305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9">
        <f>IF((DiscreteStatsTable[[#This Row],[RepsRequested]]&gt;1),DiscreteStatsTable[[#This Row],[HalfWidth]],DiscreteStatsTable[[#This Row],[BatchMeansHalfWidth]])</f>
        <v>1.8028387874448264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13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67</v>
      </c>
      <c r="B20" t="s">
        <v>107</v>
      </c>
      <c r="C20">
        <v>1</v>
      </c>
      <c r="D20" t="s">
        <v>73</v>
      </c>
      <c r="E20" t="s">
        <v>80</v>
      </c>
      <c r="F20" t="s">
        <v>75</v>
      </c>
      <c r="G20">
        <v>79.920584307663404</v>
      </c>
      <c r="H20">
        <v>2E+20</v>
      </c>
      <c r="I20">
        <v>0</v>
      </c>
      <c r="J20">
        <v>192.526903558257</v>
      </c>
      <c r="K20">
        <v>45</v>
      </c>
      <c r="L20" t="str">
        <f>DiscreteStatsTable[[#This Row],[ProjectName]]&amp;DiscreteStatsTable[[#This Row],[Name]]&amp;DiscreteStatsTable[[#This Row],[Type]]&amp;DiscreteStatsTable[[#This Row],[Source]]</f>
        <v>Unnamed ProjectItemsWait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13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50.401627845995328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29.686940606550408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17.566986459625902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124.925047565667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294.70447078008698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0">
        <f>IF((DiscreteStatsTable[[#This Row],[RepsRequested]]&gt;1),DiscreteStatsTable[[#This Row],[HalfWidth]],DiscreteStatsTable[[#This Row],[BatchMeansHalfWidth]])</f>
        <v>17.939638664214318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13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67</v>
      </c>
      <c r="B21" t="s">
        <v>107</v>
      </c>
      <c r="C21">
        <v>2</v>
      </c>
      <c r="D21" t="s">
        <v>73</v>
      </c>
      <c r="E21" t="s">
        <v>74</v>
      </c>
      <c r="F21" t="s">
        <v>75</v>
      </c>
      <c r="G21">
        <v>0</v>
      </c>
      <c r="H21">
        <v>2E+20</v>
      </c>
      <c r="I21">
        <v>0</v>
      </c>
      <c r="J21">
        <v>0</v>
      </c>
      <c r="K21">
        <v>35</v>
      </c>
      <c r="L21" t="str">
        <f>DiscreteStatsTable[[#This Row],[ProjectName]]&amp;DiscreteStatsTable[[#This Row],[Name]]&amp;DiscreteStatsTable[[#This Row],[Type]]&amp;DiscreteStatsTable[[#This Row],[Source]]</f>
        <v>Unnamed ProjectItemsNVA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13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13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67</v>
      </c>
      <c r="B22" t="s">
        <v>107</v>
      </c>
      <c r="C22">
        <v>2</v>
      </c>
      <c r="D22" t="s">
        <v>73</v>
      </c>
      <c r="E22" t="s">
        <v>76</v>
      </c>
      <c r="F22" t="s">
        <v>75</v>
      </c>
      <c r="G22">
        <v>0</v>
      </c>
      <c r="H22">
        <v>2E+20</v>
      </c>
      <c r="I22">
        <v>0</v>
      </c>
      <c r="J22">
        <v>0</v>
      </c>
      <c r="K22">
        <v>35</v>
      </c>
      <c r="L22" t="str">
        <f>DiscreteStatsTable[[#This Row],[ProjectName]]&amp;DiscreteStatsTable[[#This Row],[Name]]&amp;DiscreteStatsTable[[#This Row],[Type]]&amp;DiscreteStatsTable[[#This Row],[Source]]</f>
        <v>Unnamed ProjectItemsOther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13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13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67</v>
      </c>
      <c r="B23" t="s">
        <v>107</v>
      </c>
      <c r="C23">
        <v>2</v>
      </c>
      <c r="D23" t="s">
        <v>73</v>
      </c>
      <c r="E23" t="s">
        <v>77</v>
      </c>
      <c r="F23" t="s">
        <v>75</v>
      </c>
      <c r="G23">
        <v>38.999709780670003</v>
      </c>
      <c r="H23">
        <v>2E+20</v>
      </c>
      <c r="I23">
        <v>0.77349192250716203</v>
      </c>
      <c r="J23">
        <v>78.046714612535794</v>
      </c>
      <c r="K23">
        <v>35</v>
      </c>
      <c r="L23" t="str">
        <f>DiscreteStatsTable[[#This Row],[ProjectName]]&amp;DiscreteStatsTable[[#This Row],[Name]]&amp;DiscreteStatsTable[[#This Row],[Type]]&amp;DiscreteStatsTable[[#This Row],[Source]]</f>
        <v>Unnamed ProjectItemsTotal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13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70.99858296109538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29.371181698013853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36.715936903477598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142.34474166510299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4.9607846640384402E-2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325.009989822124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3">
        <f>IF((DiscreteStatsTable[[#This Row],[RepsRequested]]&gt;1),DiscreteStatsTable[[#This Row],[HalfWidth]],DiscreteStatsTable[[#This Row],[BatchMeansHalfWidth]])</f>
        <v>17.74882746547117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13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67</v>
      </c>
      <c r="B24" t="s">
        <v>107</v>
      </c>
      <c r="C24">
        <v>2</v>
      </c>
      <c r="D24" t="s">
        <v>73</v>
      </c>
      <c r="E24" t="s">
        <v>78</v>
      </c>
      <c r="F24" t="s">
        <v>75</v>
      </c>
      <c r="G24">
        <v>0</v>
      </c>
      <c r="H24">
        <v>2E+20</v>
      </c>
      <c r="I24">
        <v>0</v>
      </c>
      <c r="J24">
        <v>0</v>
      </c>
      <c r="K24">
        <v>35</v>
      </c>
      <c r="L24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13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13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67</v>
      </c>
      <c r="B25" t="s">
        <v>107</v>
      </c>
      <c r="C25">
        <v>2</v>
      </c>
      <c r="D25" t="s">
        <v>73</v>
      </c>
      <c r="E25" t="s">
        <v>79</v>
      </c>
      <c r="F25" t="s">
        <v>75</v>
      </c>
      <c r="G25">
        <v>16.8924384146191</v>
      </c>
      <c r="H25">
        <v>2E+20</v>
      </c>
      <c r="I25">
        <v>0.36946695783996097</v>
      </c>
      <c r="J25">
        <v>33.221813034815497</v>
      </c>
      <c r="K25">
        <v>35</v>
      </c>
      <c r="L25" t="str">
        <f>DiscreteStatsTable[[#This Row],[ProjectName]]&amp;DiscreteStatsTable[[#This Row],[Name]]&amp;DiscreteStatsTable[[#This Row],[Type]]&amp;DiscreteStatsTable[[#This Row],[Source]]</f>
        <v>Unnamed ProjectItemsVA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13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20.596955115100084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2.983380490980692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16.8924384146191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25.890318314723199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4.9607846640384402E-2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93.077852048790305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5">
        <f>IF((DiscreteStatsTable[[#This Row],[RepsRequested]]&gt;1),DiscreteStatsTable[[#This Row],[HalfWidth]],DiscreteStatsTable[[#This Row],[BatchMeansHalfWidth]])</f>
        <v>1.8028387874448264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13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67</v>
      </c>
      <c r="B26" t="s">
        <v>107</v>
      </c>
      <c r="C26">
        <v>2</v>
      </c>
      <c r="D26" t="s">
        <v>73</v>
      </c>
      <c r="E26" t="s">
        <v>80</v>
      </c>
      <c r="F26" t="s">
        <v>75</v>
      </c>
      <c r="G26">
        <v>22.107271366050899</v>
      </c>
      <c r="H26">
        <v>2E+20</v>
      </c>
      <c r="I26">
        <v>0</v>
      </c>
      <c r="J26">
        <v>57.913451852347997</v>
      </c>
      <c r="K26">
        <v>35</v>
      </c>
      <c r="L26" t="str">
        <f>DiscreteStatsTable[[#This Row],[ProjectName]]&amp;DiscreteStatsTable[[#This Row],[Name]]&amp;DiscreteStatsTable[[#This Row],[Type]]&amp;DiscreteStatsTable[[#This Row],[Source]]</f>
        <v>Unnamed ProjectItemsWait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13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50.401627845995328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29.686940606550408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17.566986459625902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124.925047565667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294.70447078008698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6">
        <f>IF((DiscreteStatsTable[[#This Row],[RepsRequested]]&gt;1),DiscreteStatsTable[[#This Row],[HalfWidth]],DiscreteStatsTable[[#This Row],[BatchMeansHalfWidth]])</f>
        <v>17.939638664214318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13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67</v>
      </c>
      <c r="B27" t="s">
        <v>107</v>
      </c>
      <c r="C27">
        <v>3</v>
      </c>
      <c r="D27" t="s">
        <v>73</v>
      </c>
      <c r="E27" t="s">
        <v>74</v>
      </c>
      <c r="F27" t="s">
        <v>75</v>
      </c>
      <c r="G27">
        <v>0</v>
      </c>
      <c r="H27">
        <v>2E+20</v>
      </c>
      <c r="I27">
        <v>0</v>
      </c>
      <c r="J27">
        <v>0</v>
      </c>
      <c r="K27">
        <v>60</v>
      </c>
      <c r="L27" t="str">
        <f>DiscreteStatsTable[[#This Row],[ProjectName]]&amp;DiscreteStatsTable[[#This Row],[Name]]&amp;DiscreteStatsTable[[#This Row],[Type]]&amp;DiscreteStatsTable[[#This Row],[Source]]</f>
        <v>Unnamed ProjectItemsNVA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13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13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67</v>
      </c>
      <c r="B28" t="s">
        <v>107</v>
      </c>
      <c r="C28">
        <v>3</v>
      </c>
      <c r="D28" t="s">
        <v>73</v>
      </c>
      <c r="E28" t="s">
        <v>76</v>
      </c>
      <c r="F28" t="s">
        <v>75</v>
      </c>
      <c r="G28">
        <v>0</v>
      </c>
      <c r="H28">
        <v>2E+20</v>
      </c>
      <c r="I28">
        <v>0</v>
      </c>
      <c r="J28">
        <v>0</v>
      </c>
      <c r="K28">
        <v>60</v>
      </c>
      <c r="L28" t="str">
        <f>DiscreteStatsTable[[#This Row],[ProjectName]]&amp;DiscreteStatsTable[[#This Row],[Name]]&amp;DiscreteStatsTable[[#This Row],[Type]]&amp;DiscreteStatsTable[[#This Row],[Source]]</f>
        <v>Unnamed ProjectItemsOther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13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13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67</v>
      </c>
      <c r="B29" t="s">
        <v>107</v>
      </c>
      <c r="C29">
        <v>3</v>
      </c>
      <c r="D29" t="s">
        <v>73</v>
      </c>
      <c r="E29" t="s">
        <v>77</v>
      </c>
      <c r="F29" t="s">
        <v>75</v>
      </c>
      <c r="G29">
        <v>142.34474166510299</v>
      </c>
      <c r="H29">
        <v>2E+20</v>
      </c>
      <c r="I29">
        <v>10.692261518754099</v>
      </c>
      <c r="J29">
        <v>325.009989822124</v>
      </c>
      <c r="K29">
        <v>60</v>
      </c>
      <c r="L29" t="str">
        <f>DiscreteStatsTable[[#This Row],[ProjectName]]&amp;DiscreteStatsTable[[#This Row],[Name]]&amp;DiscreteStatsTable[[#This Row],[Type]]&amp;DiscreteStatsTable[[#This Row],[Source]]</f>
        <v>Unnamed ProjectItemsTotal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13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70.99858296109538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29.371181698013853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36.715936903477598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142.34474166510299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4.9607846640384402E-2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325.009989822124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29">
        <f>IF((DiscreteStatsTable[[#This Row],[RepsRequested]]&gt;1),DiscreteStatsTable[[#This Row],[HalfWidth]],DiscreteStatsTable[[#This Row],[BatchMeansHalfWidth]])</f>
        <v>17.74882746547117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13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67</v>
      </c>
      <c r="B30" t="s">
        <v>107</v>
      </c>
      <c r="C30">
        <v>3</v>
      </c>
      <c r="D30" t="s">
        <v>73</v>
      </c>
      <c r="E30" t="s">
        <v>78</v>
      </c>
      <c r="F30" t="s">
        <v>75</v>
      </c>
      <c r="G30">
        <v>0</v>
      </c>
      <c r="H30">
        <v>2E+20</v>
      </c>
      <c r="I30">
        <v>0</v>
      </c>
      <c r="J30">
        <v>0</v>
      </c>
      <c r="K30">
        <v>60</v>
      </c>
      <c r="L30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13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13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67</v>
      </c>
      <c r="B31" t="s">
        <v>107</v>
      </c>
      <c r="C31">
        <v>3</v>
      </c>
      <c r="D31" t="s">
        <v>73</v>
      </c>
      <c r="E31" t="s">
        <v>79</v>
      </c>
      <c r="F31" t="s">
        <v>75</v>
      </c>
      <c r="G31">
        <v>17.419694099436299</v>
      </c>
      <c r="H31">
        <v>2E+20</v>
      </c>
      <c r="I31">
        <v>0.15406401501271499</v>
      </c>
      <c r="J31">
        <v>53.646167160752697</v>
      </c>
      <c r="K31">
        <v>60</v>
      </c>
      <c r="L31" t="str">
        <f>DiscreteStatsTable[[#This Row],[ProjectName]]&amp;DiscreteStatsTable[[#This Row],[Name]]&amp;DiscreteStatsTable[[#This Row],[Type]]&amp;DiscreteStatsTable[[#This Row],[Source]]</f>
        <v>Unnamed ProjectItemsVA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13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20.596955115100084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2.983380490980692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16.8924384146191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25.890318314723199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4.9607846640384402E-2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93.077852048790305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1">
        <f>IF((DiscreteStatsTable[[#This Row],[RepsRequested]]&gt;1),DiscreteStatsTable[[#This Row],[HalfWidth]],DiscreteStatsTable[[#This Row],[BatchMeansHalfWidth]])</f>
        <v>1.8028387874448264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13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67</v>
      </c>
      <c r="B32" t="s">
        <v>107</v>
      </c>
      <c r="C32">
        <v>3</v>
      </c>
      <c r="D32" t="s">
        <v>73</v>
      </c>
      <c r="E32" t="s">
        <v>80</v>
      </c>
      <c r="F32" t="s">
        <v>75</v>
      </c>
      <c r="G32">
        <v>124.925047565667</v>
      </c>
      <c r="H32">
        <v>2E+20</v>
      </c>
      <c r="I32">
        <v>0</v>
      </c>
      <c r="J32">
        <v>294.70447078008698</v>
      </c>
      <c r="K32">
        <v>60</v>
      </c>
      <c r="L32" t="str">
        <f>DiscreteStatsTable[[#This Row],[ProjectName]]&amp;DiscreteStatsTable[[#This Row],[Name]]&amp;DiscreteStatsTable[[#This Row],[Type]]&amp;DiscreteStatsTable[[#This Row],[Source]]</f>
        <v>Unnamed ProjectItemsWait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13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50.401627845995328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29.686940606550408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17.566986459625902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124.925047565667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294.70447078008698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2">
        <f>IF((DiscreteStatsTable[[#This Row],[RepsRequested]]&gt;1),DiscreteStatsTable[[#This Row],[HalfWidth]],DiscreteStatsTable[[#This Row],[BatchMeansHalfWidth]])</f>
        <v>17.939638664214318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13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67</v>
      </c>
      <c r="B33" t="s">
        <v>107</v>
      </c>
      <c r="C33">
        <v>4</v>
      </c>
      <c r="D33" t="s">
        <v>73</v>
      </c>
      <c r="E33" t="s">
        <v>74</v>
      </c>
      <c r="F33" t="s">
        <v>75</v>
      </c>
      <c r="G33">
        <v>0</v>
      </c>
      <c r="H33">
        <v>2E+20</v>
      </c>
      <c r="I33">
        <v>0</v>
      </c>
      <c r="J33">
        <v>0</v>
      </c>
      <c r="K33">
        <v>10</v>
      </c>
      <c r="L33" t="str">
        <f>DiscreteStatsTable[[#This Row],[ProjectName]]&amp;DiscreteStatsTable[[#This Row],[Name]]&amp;DiscreteStatsTable[[#This Row],[Type]]&amp;DiscreteStatsTable[[#This Row],[Source]]</f>
        <v>Unnamed ProjectItemsNVA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13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13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67</v>
      </c>
      <c r="B34" t="s">
        <v>107</v>
      </c>
      <c r="C34">
        <v>4</v>
      </c>
      <c r="D34" t="s">
        <v>73</v>
      </c>
      <c r="E34" t="s">
        <v>76</v>
      </c>
      <c r="F34" t="s">
        <v>75</v>
      </c>
      <c r="G34">
        <v>0</v>
      </c>
      <c r="H34">
        <v>2E+20</v>
      </c>
      <c r="I34">
        <v>0</v>
      </c>
      <c r="J34">
        <v>0</v>
      </c>
      <c r="K34">
        <v>10</v>
      </c>
      <c r="L34" t="str">
        <f>DiscreteStatsTable[[#This Row],[ProjectName]]&amp;DiscreteStatsTable[[#This Row],[Name]]&amp;DiscreteStatsTable[[#This Row],[Type]]&amp;DiscreteStatsTable[[#This Row],[Source]]</f>
        <v>Unnamed ProjectItemsOther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13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13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67</v>
      </c>
      <c r="B35" t="s">
        <v>107</v>
      </c>
      <c r="C35">
        <v>4</v>
      </c>
      <c r="D35" t="s">
        <v>73</v>
      </c>
      <c r="E35" t="s">
        <v>77</v>
      </c>
      <c r="F35" t="s">
        <v>75</v>
      </c>
      <c r="G35">
        <v>60.093936528651703</v>
      </c>
      <c r="H35">
        <v>2E+20</v>
      </c>
      <c r="I35">
        <v>24.224341691845702</v>
      </c>
      <c r="J35">
        <v>104.804486134078</v>
      </c>
      <c r="K35">
        <v>10</v>
      </c>
      <c r="L35" t="str">
        <f>DiscreteStatsTable[[#This Row],[ProjectName]]&amp;DiscreteStatsTable[[#This Row],[Name]]&amp;DiscreteStatsTable[[#This Row],[Type]]&amp;DiscreteStatsTable[[#This Row],[Source]]</f>
        <v>Unnamed ProjectItemsTotal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13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70.99858296109538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29.371181698013853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36.715936903477598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142.34474166510299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4.9607846640384402E-2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325.009989822124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5">
        <f>IF((DiscreteStatsTable[[#This Row],[RepsRequested]]&gt;1),DiscreteStatsTable[[#This Row],[HalfWidth]],DiscreteStatsTable[[#This Row],[BatchMeansHalfWidth]])</f>
        <v>17.74882746547117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13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67</v>
      </c>
      <c r="B36" t="s">
        <v>107</v>
      </c>
      <c r="C36">
        <v>4</v>
      </c>
      <c r="D36" t="s">
        <v>73</v>
      </c>
      <c r="E36" t="s">
        <v>78</v>
      </c>
      <c r="F36" t="s">
        <v>75</v>
      </c>
      <c r="G36">
        <v>0</v>
      </c>
      <c r="H36">
        <v>2E+20</v>
      </c>
      <c r="I36">
        <v>0</v>
      </c>
      <c r="J36">
        <v>0</v>
      </c>
      <c r="K36">
        <v>10</v>
      </c>
      <c r="L36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13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13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67</v>
      </c>
      <c r="B37" t="s">
        <v>107</v>
      </c>
      <c r="C37">
        <v>4</v>
      </c>
      <c r="D37" t="s">
        <v>73</v>
      </c>
      <c r="E37" t="s">
        <v>79</v>
      </c>
      <c r="F37" t="s">
        <v>75</v>
      </c>
      <c r="G37">
        <v>24.849119618257902</v>
      </c>
      <c r="H37">
        <v>2E+20</v>
      </c>
      <c r="I37">
        <v>6.0967235470335099</v>
      </c>
      <c r="J37">
        <v>34.105289813132401</v>
      </c>
      <c r="K37">
        <v>10</v>
      </c>
      <c r="L37" t="str">
        <f>DiscreteStatsTable[[#This Row],[ProjectName]]&amp;DiscreteStatsTable[[#This Row],[Name]]&amp;DiscreteStatsTable[[#This Row],[Type]]&amp;DiscreteStatsTable[[#This Row],[Source]]</f>
        <v>Unnamed ProjectItemsVA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13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20.596955115100084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2.983380490980692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16.8924384146191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25.890318314723199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4.9607846640384402E-2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93.077852048790305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7">
        <f>IF((DiscreteStatsTable[[#This Row],[RepsRequested]]&gt;1),DiscreteStatsTable[[#This Row],[HalfWidth]],DiscreteStatsTable[[#This Row],[BatchMeansHalfWidth]])</f>
        <v>1.8028387874448264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13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67</v>
      </c>
      <c r="B38" t="s">
        <v>107</v>
      </c>
      <c r="C38">
        <v>4</v>
      </c>
      <c r="D38" t="s">
        <v>73</v>
      </c>
      <c r="E38" t="s">
        <v>80</v>
      </c>
      <c r="F38" t="s">
        <v>75</v>
      </c>
      <c r="G38">
        <v>35.244816910393901</v>
      </c>
      <c r="H38">
        <v>2E+20</v>
      </c>
      <c r="I38">
        <v>0</v>
      </c>
      <c r="J38">
        <v>75.345749998947994</v>
      </c>
      <c r="K38">
        <v>10</v>
      </c>
      <c r="L38" t="str">
        <f>DiscreteStatsTable[[#This Row],[ProjectName]]&amp;DiscreteStatsTable[[#This Row],[Name]]&amp;DiscreteStatsTable[[#This Row],[Type]]&amp;DiscreteStatsTable[[#This Row],[Source]]</f>
        <v>Unnamed ProjectItemsWait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13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50.401627845995328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29.686940606550408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17.566986459625902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124.925047565667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294.70447078008698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8">
        <f>IF((DiscreteStatsTable[[#This Row],[RepsRequested]]&gt;1),DiscreteStatsTable[[#This Row],[HalfWidth]],DiscreteStatsTable[[#This Row],[BatchMeansHalfWidth]])</f>
        <v>17.939638664214318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13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67</v>
      </c>
      <c r="B39" t="s">
        <v>107</v>
      </c>
      <c r="C39">
        <v>5</v>
      </c>
      <c r="D39" t="s">
        <v>73</v>
      </c>
      <c r="E39" t="s">
        <v>74</v>
      </c>
      <c r="F39" t="s">
        <v>75</v>
      </c>
      <c r="G39">
        <v>0</v>
      </c>
      <c r="H39">
        <v>2E+20</v>
      </c>
      <c r="I39">
        <v>0</v>
      </c>
      <c r="J39">
        <v>0</v>
      </c>
      <c r="K39">
        <v>10</v>
      </c>
      <c r="L39" t="str">
        <f>DiscreteStatsTable[[#This Row],[ProjectName]]&amp;DiscreteStatsTable[[#This Row],[Name]]&amp;DiscreteStatsTable[[#This Row],[Type]]&amp;DiscreteStatsTable[[#This Row],[Source]]</f>
        <v>Unnamed ProjectItemsNVA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13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13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67</v>
      </c>
      <c r="B40" t="s">
        <v>107</v>
      </c>
      <c r="C40">
        <v>5</v>
      </c>
      <c r="D40" t="s">
        <v>73</v>
      </c>
      <c r="E40" t="s">
        <v>76</v>
      </c>
      <c r="F40" t="s">
        <v>75</v>
      </c>
      <c r="G40">
        <v>0</v>
      </c>
      <c r="H40">
        <v>2E+20</v>
      </c>
      <c r="I40">
        <v>0</v>
      </c>
      <c r="J40">
        <v>0</v>
      </c>
      <c r="K40">
        <v>10</v>
      </c>
      <c r="L40" t="str">
        <f>DiscreteStatsTable[[#This Row],[ProjectName]]&amp;DiscreteStatsTable[[#This Row],[Name]]&amp;DiscreteStatsTable[[#This Row],[Type]]&amp;DiscreteStatsTable[[#This Row],[Source]]</f>
        <v>Unnamed ProjectItemsOther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13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13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67</v>
      </c>
      <c r="B41" t="s">
        <v>107</v>
      </c>
      <c r="C41">
        <v>5</v>
      </c>
      <c r="D41" t="s">
        <v>73</v>
      </c>
      <c r="E41" t="s">
        <v>77</v>
      </c>
      <c r="F41" t="s">
        <v>75</v>
      </c>
      <c r="G41">
        <v>48.9970601757176</v>
      </c>
      <c r="H41">
        <v>2E+20</v>
      </c>
      <c r="I41">
        <v>18.178312836459199</v>
      </c>
      <c r="J41">
        <v>86.313837988033896</v>
      </c>
      <c r="K41">
        <v>10</v>
      </c>
      <c r="L41" t="str">
        <f>DiscreteStatsTable[[#This Row],[ProjectName]]&amp;DiscreteStatsTable[[#This Row],[Name]]&amp;DiscreteStatsTable[[#This Row],[Type]]&amp;DiscreteStatsTable[[#This Row],[Source]]</f>
        <v>Unnamed ProjectItemsTotal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13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70.99858296109538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29.371181698013853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36.715936903477598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142.34474166510299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4.9607846640384402E-2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325.009989822124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1">
        <f>IF((DiscreteStatsTable[[#This Row],[RepsRequested]]&gt;1),DiscreteStatsTable[[#This Row],[HalfWidth]],DiscreteStatsTable[[#This Row],[BatchMeansHalfWidth]])</f>
        <v>17.74882746547117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13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67</v>
      </c>
      <c r="B42" t="s">
        <v>107</v>
      </c>
      <c r="C42">
        <v>5</v>
      </c>
      <c r="D42" t="s">
        <v>73</v>
      </c>
      <c r="E42" t="s">
        <v>78</v>
      </c>
      <c r="F42" t="s">
        <v>75</v>
      </c>
      <c r="G42">
        <v>0</v>
      </c>
      <c r="H42">
        <v>2E+20</v>
      </c>
      <c r="I42">
        <v>0</v>
      </c>
      <c r="J42">
        <v>0</v>
      </c>
      <c r="K42">
        <v>10</v>
      </c>
      <c r="L42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13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0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0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0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2">
        <f>IF((DiscreteStatsTable[[#This Row],[RepsRequested]]&gt;1),DiscreteStatsTable[[#This Row],[HalfWidth]],DiscreteStatsTable[[#This Row],[BatchMeansHalfWidth]])</f>
        <v>0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13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67</v>
      </c>
      <c r="B43" t="s">
        <v>107</v>
      </c>
      <c r="C43">
        <v>5</v>
      </c>
      <c r="D43" t="s">
        <v>73</v>
      </c>
      <c r="E43" t="s">
        <v>79</v>
      </c>
      <c r="F43" t="s">
        <v>75</v>
      </c>
      <c r="G43">
        <v>22.092390138799601</v>
      </c>
      <c r="H43">
        <v>2E+20</v>
      </c>
      <c r="I43">
        <v>7.3516274477178198</v>
      </c>
      <c r="J43">
        <v>31.791519452684501</v>
      </c>
      <c r="K43">
        <v>10</v>
      </c>
      <c r="L43" t="str">
        <f>DiscreteStatsTable[[#This Row],[ProjectName]]&amp;DiscreteStatsTable[[#This Row],[Name]]&amp;DiscreteStatsTable[[#This Row],[Type]]&amp;DiscreteStatsTable[[#This Row],[Source]]</f>
        <v>Unnamed ProjectItemsVA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13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20.596955115100084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2.983380490980692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16.8924384146191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25.890318314723199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4.9607846640384402E-2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93.077852048790305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3">
        <f>IF((DiscreteStatsTable[[#This Row],[RepsRequested]]&gt;1),DiscreteStatsTable[[#This Row],[HalfWidth]],DiscreteStatsTable[[#This Row],[BatchMeansHalfWidth]])</f>
        <v>1.8028387874448264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13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67</v>
      </c>
      <c r="B44" t="s">
        <v>107</v>
      </c>
      <c r="C44">
        <v>5</v>
      </c>
      <c r="D44" t="s">
        <v>73</v>
      </c>
      <c r="E44" t="s">
        <v>80</v>
      </c>
      <c r="F44" t="s">
        <v>75</v>
      </c>
      <c r="G44">
        <v>26.904670036917999</v>
      </c>
      <c r="H44">
        <v>2E+20</v>
      </c>
      <c r="I44">
        <v>0</v>
      </c>
      <c r="J44">
        <v>55.4022041057042</v>
      </c>
      <c r="K44">
        <v>10</v>
      </c>
      <c r="L44" t="str">
        <f>DiscreteStatsTable[[#This Row],[ProjectName]]&amp;DiscreteStatsTable[[#This Row],[Name]]&amp;DiscreteStatsTable[[#This Row],[Type]]&amp;DiscreteStatsTable[[#This Row],[Source]]</f>
        <v>Unnamed ProjectItemsWait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13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50.401627845995328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29.686940606550408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17.566986459625902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124.925047565667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294.70447078008698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4">
        <f>IF((DiscreteStatsTable[[#This Row],[RepsRequested]]&gt;1),DiscreteStatsTable[[#This Row],[HalfWidth]],DiscreteStatsTable[[#This Row],[BatchMeansHalfWidth]])</f>
        <v>17.939638664214318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13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67</v>
      </c>
      <c r="B45" t="s">
        <v>107</v>
      </c>
      <c r="C45">
        <v>6</v>
      </c>
      <c r="D45" t="s">
        <v>73</v>
      </c>
      <c r="E45" t="s">
        <v>74</v>
      </c>
      <c r="F45" t="s">
        <v>75</v>
      </c>
      <c r="G45">
        <v>0</v>
      </c>
      <c r="H45">
        <v>2E+20</v>
      </c>
      <c r="I45">
        <v>0</v>
      </c>
      <c r="J45">
        <v>0</v>
      </c>
      <c r="K45">
        <v>34</v>
      </c>
      <c r="L45" t="str">
        <f>DiscreteStatsTable[[#This Row],[ProjectName]]&amp;DiscreteStatsTable[[#This Row],[Name]]&amp;DiscreteStatsTable[[#This Row],[Type]]&amp;DiscreteStatsTable[[#This Row],[Source]]</f>
        <v>Unnamed ProjectItemsNVA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13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13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67</v>
      </c>
      <c r="B46" t="s">
        <v>107</v>
      </c>
      <c r="C46">
        <v>6</v>
      </c>
      <c r="D46" t="s">
        <v>73</v>
      </c>
      <c r="E46" t="s">
        <v>76</v>
      </c>
      <c r="F46" t="s">
        <v>75</v>
      </c>
      <c r="G46">
        <v>0</v>
      </c>
      <c r="H46">
        <v>2E+20</v>
      </c>
      <c r="I46">
        <v>0</v>
      </c>
      <c r="J46">
        <v>0</v>
      </c>
      <c r="K46">
        <v>34</v>
      </c>
      <c r="L46" t="str">
        <f>DiscreteStatsTable[[#This Row],[ProjectName]]&amp;DiscreteStatsTable[[#This Row],[Name]]&amp;DiscreteStatsTable[[#This Row],[Type]]&amp;DiscreteStatsTable[[#This Row],[Source]]</f>
        <v>Unnamed ProjectItemsOther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13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0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0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0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6">
        <f>IF((DiscreteStatsTable[[#This Row],[RepsRequested]]&gt;1),DiscreteStatsTable[[#This Row],[HalfWidth]],DiscreteStatsTable[[#This Row],[BatchMeansHalfWidth]])</f>
        <v>0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13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67</v>
      </c>
      <c r="B47" t="s">
        <v>107</v>
      </c>
      <c r="C47">
        <v>6</v>
      </c>
      <c r="D47" t="s">
        <v>73</v>
      </c>
      <c r="E47" t="s">
        <v>77</v>
      </c>
      <c r="F47" t="s">
        <v>75</v>
      </c>
      <c r="G47">
        <v>77.088436440119807</v>
      </c>
      <c r="H47">
        <v>2E+20</v>
      </c>
      <c r="I47">
        <v>1.7340741106651201</v>
      </c>
      <c r="J47">
        <v>172.22256040265199</v>
      </c>
      <c r="K47">
        <v>34</v>
      </c>
      <c r="L47" t="str">
        <f>DiscreteStatsTable[[#This Row],[ProjectName]]&amp;DiscreteStatsTable[[#This Row],[Name]]&amp;DiscreteStatsTable[[#This Row],[Type]]&amp;DiscreteStatsTable[[#This Row],[Source]]</f>
        <v>Unnamed ProjectItemsTotal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13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70.99858296109538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29.371181698013853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36.715936903477598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142.34474166510299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4.9607846640384402E-2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325.009989822124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7">
        <f>IF((DiscreteStatsTable[[#This Row],[RepsRequested]]&gt;1),DiscreteStatsTable[[#This Row],[HalfWidth]],DiscreteStatsTable[[#This Row],[BatchMeansHalfWidth]])</f>
        <v>17.74882746547117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13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67</v>
      </c>
      <c r="B48" t="s">
        <v>107</v>
      </c>
      <c r="C48">
        <v>6</v>
      </c>
      <c r="D48" t="s">
        <v>73</v>
      </c>
      <c r="E48" t="s">
        <v>78</v>
      </c>
      <c r="F48" t="s">
        <v>75</v>
      </c>
      <c r="G48">
        <v>0</v>
      </c>
      <c r="H48">
        <v>2E+20</v>
      </c>
      <c r="I48">
        <v>0</v>
      </c>
      <c r="J48">
        <v>0</v>
      </c>
      <c r="K48">
        <v>34</v>
      </c>
      <c r="L48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13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0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0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0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8">
        <f>IF((DiscreteStatsTable[[#This Row],[RepsRequested]]&gt;1),DiscreteStatsTable[[#This Row],[HalfWidth]],DiscreteStatsTable[[#This Row],[BatchMeansHalfWidth]])</f>
        <v>0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13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67</v>
      </c>
      <c r="B49" t="s">
        <v>107</v>
      </c>
      <c r="C49">
        <v>6</v>
      </c>
      <c r="D49" t="s">
        <v>73</v>
      </c>
      <c r="E49" t="s">
        <v>79</v>
      </c>
      <c r="F49" t="s">
        <v>75</v>
      </c>
      <c r="G49">
        <v>21.7222131943712</v>
      </c>
      <c r="H49">
        <v>2E+20</v>
      </c>
      <c r="I49">
        <v>0.39703464148294598</v>
      </c>
      <c r="J49">
        <v>93.077852048790305</v>
      </c>
      <c r="K49">
        <v>34</v>
      </c>
      <c r="L49" t="str">
        <f>DiscreteStatsTable[[#This Row],[ProjectName]]&amp;DiscreteStatsTable[[#This Row],[Name]]&amp;DiscreteStatsTable[[#This Row],[Type]]&amp;DiscreteStatsTable[[#This Row],[Source]]</f>
        <v>Unnamed ProjectItemsVA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13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20.596955115100084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2.983380490980692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16.8924384146191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25.890318314723199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4.9607846640384402E-2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93.077852048790305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49">
        <f>IF((DiscreteStatsTable[[#This Row],[RepsRequested]]&gt;1),DiscreteStatsTable[[#This Row],[HalfWidth]],DiscreteStatsTable[[#This Row],[BatchMeansHalfWidth]])</f>
        <v>1.8028387874448264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13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67</v>
      </c>
      <c r="B50" t="s">
        <v>107</v>
      </c>
      <c r="C50">
        <v>6</v>
      </c>
      <c r="D50" t="s">
        <v>73</v>
      </c>
      <c r="E50" t="s">
        <v>80</v>
      </c>
      <c r="F50" t="s">
        <v>75</v>
      </c>
      <c r="G50">
        <v>55.366223245748699</v>
      </c>
      <c r="H50">
        <v>2E+20</v>
      </c>
      <c r="I50">
        <v>0</v>
      </c>
      <c r="J50">
        <v>143.23935998028301</v>
      </c>
      <c r="K50">
        <v>34</v>
      </c>
      <c r="L50" t="str">
        <f>DiscreteStatsTable[[#This Row],[ProjectName]]&amp;DiscreteStatsTable[[#This Row],[Name]]&amp;DiscreteStatsTable[[#This Row],[Type]]&amp;DiscreteStatsTable[[#This Row],[Source]]</f>
        <v>Unnamed ProjectItemsWait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13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50.401627845995328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29.686940606550408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17.566986459625902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124.925047565667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294.70447078008698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0">
        <f>IF((DiscreteStatsTable[[#This Row],[RepsRequested]]&gt;1),DiscreteStatsTable[[#This Row],[HalfWidth]],DiscreteStatsTable[[#This Row],[BatchMeansHalfWidth]])</f>
        <v>17.939638664214318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13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67</v>
      </c>
      <c r="B51" t="s">
        <v>107</v>
      </c>
      <c r="C51">
        <v>7</v>
      </c>
      <c r="D51" t="s">
        <v>73</v>
      </c>
      <c r="E51" t="s">
        <v>74</v>
      </c>
      <c r="F51" t="s">
        <v>75</v>
      </c>
      <c r="G51">
        <v>0</v>
      </c>
      <c r="H51">
        <v>2E+20</v>
      </c>
      <c r="I51">
        <v>0</v>
      </c>
      <c r="J51">
        <v>0</v>
      </c>
      <c r="K51">
        <v>20</v>
      </c>
      <c r="L51" t="str">
        <f>DiscreteStatsTable[[#This Row],[ProjectName]]&amp;DiscreteStatsTable[[#This Row],[Name]]&amp;DiscreteStatsTable[[#This Row],[Type]]&amp;DiscreteStatsTable[[#This Row],[Source]]</f>
        <v>Unnamed ProjectItemsNVA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13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13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67</v>
      </c>
      <c r="B52" t="s">
        <v>107</v>
      </c>
      <c r="C52">
        <v>7</v>
      </c>
      <c r="D52" t="s">
        <v>73</v>
      </c>
      <c r="E52" t="s">
        <v>76</v>
      </c>
      <c r="F52" t="s">
        <v>75</v>
      </c>
      <c r="G52">
        <v>0</v>
      </c>
      <c r="H52">
        <v>2E+20</v>
      </c>
      <c r="I52">
        <v>0</v>
      </c>
      <c r="J52">
        <v>0</v>
      </c>
      <c r="K52">
        <v>20</v>
      </c>
      <c r="L52" t="str">
        <f>DiscreteStatsTable[[#This Row],[ProjectName]]&amp;DiscreteStatsTable[[#This Row],[Name]]&amp;DiscreteStatsTable[[#This Row],[Type]]&amp;DiscreteStatsTable[[#This Row],[Source]]</f>
        <v>Unnamed ProjectItemsOther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13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0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0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0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2">
        <f>IF((DiscreteStatsTable[[#This Row],[RepsRequested]]&gt;1),DiscreteStatsTable[[#This Row],[HalfWidth]],DiscreteStatsTable[[#This Row],[BatchMeansHalfWidth]])</f>
        <v>0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13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67</v>
      </c>
      <c r="B53" t="s">
        <v>107</v>
      </c>
      <c r="C53">
        <v>7</v>
      </c>
      <c r="D53" t="s">
        <v>73</v>
      </c>
      <c r="E53" t="s">
        <v>77</v>
      </c>
      <c r="F53" t="s">
        <v>75</v>
      </c>
      <c r="G53">
        <v>68.415413045127195</v>
      </c>
      <c r="H53">
        <v>2E+20</v>
      </c>
      <c r="I53">
        <v>16.833421248526101</v>
      </c>
      <c r="J53">
        <v>110.813924952088</v>
      </c>
      <c r="K53">
        <v>20</v>
      </c>
      <c r="L53" t="str">
        <f>DiscreteStatsTable[[#This Row],[ProjectName]]&amp;DiscreteStatsTable[[#This Row],[Name]]&amp;DiscreteStatsTable[[#This Row],[Type]]&amp;DiscreteStatsTable[[#This Row],[Source]]</f>
        <v>Unnamed ProjectItemsTotal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13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70.99858296109538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29.371181698013853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36.715936903477598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142.34474166510299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4.9607846640384402E-2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325.009989822124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3">
        <f>IF((DiscreteStatsTable[[#This Row],[RepsRequested]]&gt;1),DiscreteStatsTable[[#This Row],[HalfWidth]],DiscreteStatsTable[[#This Row],[BatchMeansHalfWidth]])</f>
        <v>17.74882746547117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13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67</v>
      </c>
      <c r="B54" t="s">
        <v>107</v>
      </c>
      <c r="C54">
        <v>7</v>
      </c>
      <c r="D54" t="s">
        <v>73</v>
      </c>
      <c r="E54" t="s">
        <v>78</v>
      </c>
      <c r="F54" t="s">
        <v>75</v>
      </c>
      <c r="G54">
        <v>0</v>
      </c>
      <c r="H54">
        <v>2E+20</v>
      </c>
      <c r="I54">
        <v>0</v>
      </c>
      <c r="J54">
        <v>0</v>
      </c>
      <c r="K54">
        <v>20</v>
      </c>
      <c r="L54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13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0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0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0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4">
        <f>IF((DiscreteStatsTable[[#This Row],[RepsRequested]]&gt;1),DiscreteStatsTable[[#This Row],[HalfWidth]],DiscreteStatsTable[[#This Row],[BatchMeansHalfWidth]])</f>
        <v>0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13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67</v>
      </c>
      <c r="B55" t="s">
        <v>107</v>
      </c>
      <c r="C55">
        <v>7</v>
      </c>
      <c r="D55" t="s">
        <v>73</v>
      </c>
      <c r="E55" t="s">
        <v>79</v>
      </c>
      <c r="F55" t="s">
        <v>75</v>
      </c>
      <c r="G55">
        <v>24.604399433682602</v>
      </c>
      <c r="H55">
        <v>2E+20</v>
      </c>
      <c r="I55">
        <v>1.94871895462762</v>
      </c>
      <c r="J55">
        <v>67.9957330948303</v>
      </c>
      <c r="K55">
        <v>20</v>
      </c>
      <c r="L55" t="str">
        <f>DiscreteStatsTable[[#This Row],[ProjectName]]&amp;DiscreteStatsTable[[#This Row],[Name]]&amp;DiscreteStatsTable[[#This Row],[Type]]&amp;DiscreteStatsTable[[#This Row],[Source]]</f>
        <v>Unnamed ProjectItemsVA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13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20.596955115100084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2.983380490980692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16.8924384146191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25.890318314723199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4.9607846640384402E-2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93.077852048790305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5">
        <f>IF((DiscreteStatsTable[[#This Row],[RepsRequested]]&gt;1),DiscreteStatsTable[[#This Row],[HalfWidth]],DiscreteStatsTable[[#This Row],[BatchMeansHalfWidth]])</f>
        <v>1.8028387874448264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13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67</v>
      </c>
      <c r="B56" t="s">
        <v>107</v>
      </c>
      <c r="C56">
        <v>7</v>
      </c>
      <c r="D56" t="s">
        <v>73</v>
      </c>
      <c r="E56" t="s">
        <v>80</v>
      </c>
      <c r="F56" t="s">
        <v>75</v>
      </c>
      <c r="G56">
        <v>43.811013611444601</v>
      </c>
      <c r="H56">
        <v>2E+20</v>
      </c>
      <c r="I56">
        <v>0</v>
      </c>
      <c r="J56">
        <v>79.197760535341601</v>
      </c>
      <c r="K56">
        <v>20</v>
      </c>
      <c r="L56" t="str">
        <f>DiscreteStatsTable[[#This Row],[ProjectName]]&amp;DiscreteStatsTable[[#This Row],[Name]]&amp;DiscreteStatsTable[[#This Row],[Type]]&amp;DiscreteStatsTable[[#This Row],[Source]]</f>
        <v>Unnamed ProjectItemsWait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13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50.401627845995328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29.686940606550408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17.566986459625902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124.925047565667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294.70447078008698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6">
        <f>IF((DiscreteStatsTable[[#This Row],[RepsRequested]]&gt;1),DiscreteStatsTable[[#This Row],[HalfWidth]],DiscreteStatsTable[[#This Row],[BatchMeansHalfWidth]])</f>
        <v>17.939638664214318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13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67</v>
      </c>
      <c r="B57" t="s">
        <v>107</v>
      </c>
      <c r="C57">
        <v>8</v>
      </c>
      <c r="D57" t="s">
        <v>73</v>
      </c>
      <c r="E57" t="s">
        <v>74</v>
      </c>
      <c r="F57" t="s">
        <v>75</v>
      </c>
      <c r="G57">
        <v>0</v>
      </c>
      <c r="H57">
        <v>2E+20</v>
      </c>
      <c r="I57">
        <v>0</v>
      </c>
      <c r="J57">
        <v>0</v>
      </c>
      <c r="K57">
        <v>50</v>
      </c>
      <c r="L57" t="str">
        <f>DiscreteStatsTable[[#This Row],[ProjectName]]&amp;DiscreteStatsTable[[#This Row],[Name]]&amp;DiscreteStatsTable[[#This Row],[Type]]&amp;DiscreteStatsTable[[#This Row],[Source]]</f>
        <v>Unnamed ProjectItemsNVA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13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13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67</v>
      </c>
      <c r="B58" t="s">
        <v>107</v>
      </c>
      <c r="C58">
        <v>8</v>
      </c>
      <c r="D58" t="s">
        <v>73</v>
      </c>
      <c r="E58" t="s">
        <v>76</v>
      </c>
      <c r="F58" t="s">
        <v>75</v>
      </c>
      <c r="G58">
        <v>0</v>
      </c>
      <c r="H58">
        <v>2E+20</v>
      </c>
      <c r="I58">
        <v>0</v>
      </c>
      <c r="J58">
        <v>0</v>
      </c>
      <c r="K58">
        <v>50</v>
      </c>
      <c r="L58" t="str">
        <f>DiscreteStatsTable[[#This Row],[ProjectName]]&amp;DiscreteStatsTable[[#This Row],[Name]]&amp;DiscreteStatsTable[[#This Row],[Type]]&amp;DiscreteStatsTable[[#This Row],[Source]]</f>
        <v>Unnamed ProjectItemsOther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13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0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0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0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8">
        <f>IF((DiscreteStatsTable[[#This Row],[RepsRequested]]&gt;1),DiscreteStatsTable[[#This Row],[HalfWidth]],DiscreteStatsTable[[#This Row],[BatchMeansHalfWidth]])</f>
        <v>0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13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67</v>
      </c>
      <c r="B59" t="s">
        <v>107</v>
      </c>
      <c r="C59">
        <v>8</v>
      </c>
      <c r="D59" t="s">
        <v>73</v>
      </c>
      <c r="E59" t="s">
        <v>77</v>
      </c>
      <c r="F59" t="s">
        <v>75</v>
      </c>
      <c r="G59">
        <v>97.799434999713498</v>
      </c>
      <c r="H59">
        <v>2E+20</v>
      </c>
      <c r="I59">
        <v>3.70210877465707</v>
      </c>
      <c r="J59">
        <v>271.14236604633402</v>
      </c>
      <c r="K59">
        <v>50</v>
      </c>
      <c r="L59" t="str">
        <f>DiscreteStatsTable[[#This Row],[ProjectName]]&amp;DiscreteStatsTable[[#This Row],[Name]]&amp;DiscreteStatsTable[[#This Row],[Type]]&amp;DiscreteStatsTable[[#This Row],[Source]]</f>
        <v>Unnamed ProjectItemsTotal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13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70.99858296109538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29.371181698013853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36.715936903477598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142.34474166510299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4.9607846640384402E-2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325.009989822124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59">
        <f>IF((DiscreteStatsTable[[#This Row],[RepsRequested]]&gt;1),DiscreteStatsTable[[#This Row],[HalfWidth]],DiscreteStatsTable[[#This Row],[BatchMeansHalfWidth]])</f>
        <v>17.74882746547117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13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67</v>
      </c>
      <c r="B60" t="s">
        <v>107</v>
      </c>
      <c r="C60">
        <v>8</v>
      </c>
      <c r="D60" t="s">
        <v>73</v>
      </c>
      <c r="E60" t="s">
        <v>78</v>
      </c>
      <c r="F60" t="s">
        <v>75</v>
      </c>
      <c r="G60">
        <v>0</v>
      </c>
      <c r="H60">
        <v>2E+20</v>
      </c>
      <c r="I60">
        <v>0</v>
      </c>
      <c r="J60">
        <v>0</v>
      </c>
      <c r="K60">
        <v>50</v>
      </c>
      <c r="L60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13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0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0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0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0">
        <f>IF((DiscreteStatsTable[[#This Row],[RepsRequested]]&gt;1),DiscreteStatsTable[[#This Row],[HalfWidth]],DiscreteStatsTable[[#This Row],[BatchMeansHalfWidth]])</f>
        <v>0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13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67</v>
      </c>
      <c r="B61" t="s">
        <v>107</v>
      </c>
      <c r="C61">
        <v>8</v>
      </c>
      <c r="D61" t="s">
        <v>73</v>
      </c>
      <c r="E61" t="s">
        <v>79</v>
      </c>
      <c r="F61" t="s">
        <v>75</v>
      </c>
      <c r="G61">
        <v>20.0380092986472</v>
      </c>
      <c r="H61">
        <v>2E+20</v>
      </c>
      <c r="I61">
        <v>0.59714726845760402</v>
      </c>
      <c r="J61">
        <v>85.643036617838305</v>
      </c>
      <c r="K61">
        <v>50</v>
      </c>
      <c r="L61" t="str">
        <f>DiscreteStatsTable[[#This Row],[ProjectName]]&amp;DiscreteStatsTable[[#This Row],[Name]]&amp;DiscreteStatsTable[[#This Row],[Type]]&amp;DiscreteStatsTable[[#This Row],[Source]]</f>
        <v>Unnamed ProjectItemsVA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13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20.596955115100084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2.983380490980692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16.8924384146191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25.890318314723199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4.9607846640384402E-2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93.077852048790305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1">
        <f>IF((DiscreteStatsTable[[#This Row],[RepsRequested]]&gt;1),DiscreteStatsTable[[#This Row],[HalfWidth]],DiscreteStatsTable[[#This Row],[BatchMeansHalfWidth]])</f>
        <v>1.8028387874448264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13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67</v>
      </c>
      <c r="B62" t="s">
        <v>107</v>
      </c>
      <c r="C62">
        <v>8</v>
      </c>
      <c r="D62" t="s">
        <v>73</v>
      </c>
      <c r="E62" t="s">
        <v>80</v>
      </c>
      <c r="F62" t="s">
        <v>75</v>
      </c>
      <c r="G62">
        <v>77.761425701066202</v>
      </c>
      <c r="H62">
        <v>2E+20</v>
      </c>
      <c r="I62">
        <v>0</v>
      </c>
      <c r="J62">
        <v>243.53759488083099</v>
      </c>
      <c r="K62">
        <v>50</v>
      </c>
      <c r="L62" t="str">
        <f>DiscreteStatsTable[[#This Row],[ProjectName]]&amp;DiscreteStatsTable[[#This Row],[Name]]&amp;DiscreteStatsTable[[#This Row],[Type]]&amp;DiscreteStatsTable[[#This Row],[Source]]</f>
        <v>Unnamed ProjectItemsWait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13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50.401627845995328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29.686940606550408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17.566986459625902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124.925047565667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294.70447078008698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2">
        <f>IF((DiscreteStatsTable[[#This Row],[RepsRequested]]&gt;1),DiscreteStatsTable[[#This Row],[HalfWidth]],DiscreteStatsTable[[#This Row],[BatchMeansHalfWidth]])</f>
        <v>17.939638664214318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13</v>
      </c>
      <c r="Y62">
        <f>IF(DiscreteStatsTable[[#This Row],[RepsRequested]]=DiscreteStatsTable[[#This Row],[RepsWithStatObserved]],1,0)</f>
        <v>1</v>
      </c>
    </row>
    <row r="63" spans="1:25" x14ac:dyDescent="0.25">
      <c r="A63" t="s">
        <v>67</v>
      </c>
      <c r="B63" t="s">
        <v>107</v>
      </c>
      <c r="C63">
        <v>9</v>
      </c>
      <c r="D63" t="s">
        <v>73</v>
      </c>
      <c r="E63" t="s">
        <v>74</v>
      </c>
      <c r="F63" t="s">
        <v>75</v>
      </c>
      <c r="G63">
        <v>0</v>
      </c>
      <c r="H63">
        <v>2E+20</v>
      </c>
      <c r="I63">
        <v>0</v>
      </c>
      <c r="J63">
        <v>0</v>
      </c>
      <c r="K63">
        <v>10</v>
      </c>
      <c r="L63" t="str">
        <f>DiscreteStatsTable[[#This Row],[ProjectName]]&amp;DiscreteStatsTable[[#This Row],[Name]]&amp;DiscreteStatsTable[[#This Row],[Type]]&amp;DiscreteStatsTable[[#This Row],[Source]]</f>
        <v>Unnamed ProjectItemsNVA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13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13</v>
      </c>
      <c r="Y63">
        <f>IF(DiscreteStatsTable[[#This Row],[RepsRequested]]=DiscreteStatsTable[[#This Row],[RepsWithStatObserved]],1,0)</f>
        <v>1</v>
      </c>
    </row>
    <row r="64" spans="1:25" x14ac:dyDescent="0.25">
      <c r="A64" t="s">
        <v>67</v>
      </c>
      <c r="B64" t="s">
        <v>107</v>
      </c>
      <c r="C64">
        <v>9</v>
      </c>
      <c r="D64" t="s">
        <v>73</v>
      </c>
      <c r="E64" t="s">
        <v>76</v>
      </c>
      <c r="F64" t="s">
        <v>75</v>
      </c>
      <c r="G64">
        <v>0</v>
      </c>
      <c r="H64">
        <v>2E+20</v>
      </c>
      <c r="I64">
        <v>0</v>
      </c>
      <c r="J64">
        <v>0</v>
      </c>
      <c r="K64">
        <v>10</v>
      </c>
      <c r="L64" t="str">
        <f>DiscreteStatsTable[[#This Row],[ProjectName]]&amp;DiscreteStatsTable[[#This Row],[Name]]&amp;DiscreteStatsTable[[#This Row],[Type]]&amp;DiscreteStatsTable[[#This Row],[Source]]</f>
        <v>Unnamed ProjectItemsOther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13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0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0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0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0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4">
        <f>IF((DiscreteStatsTable[[#This Row],[RepsRequested]]&gt;1),DiscreteStatsTable[[#This Row],[HalfWidth]],DiscreteStatsTable[[#This Row],[BatchMeansHalfWidth]])</f>
        <v>0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13</v>
      </c>
      <c r="Y64">
        <f>IF(DiscreteStatsTable[[#This Row],[RepsRequested]]=DiscreteStatsTable[[#This Row],[RepsWithStatObserved]],1,0)</f>
        <v>1</v>
      </c>
    </row>
    <row r="65" spans="1:25" x14ac:dyDescent="0.25">
      <c r="A65" t="s">
        <v>67</v>
      </c>
      <c r="B65" t="s">
        <v>107</v>
      </c>
      <c r="C65">
        <v>9</v>
      </c>
      <c r="D65" t="s">
        <v>73</v>
      </c>
      <c r="E65" t="s">
        <v>77</v>
      </c>
      <c r="F65" t="s">
        <v>75</v>
      </c>
      <c r="G65">
        <v>36.715936903477598</v>
      </c>
      <c r="H65">
        <v>2E+20</v>
      </c>
      <c r="I65">
        <v>4.4117365936849096</v>
      </c>
      <c r="J65">
        <v>72.968376141887802</v>
      </c>
      <c r="K65">
        <v>10</v>
      </c>
      <c r="L65" t="str">
        <f>DiscreteStatsTable[[#This Row],[ProjectName]]&amp;DiscreteStatsTable[[#This Row],[Name]]&amp;DiscreteStatsTable[[#This Row],[Type]]&amp;DiscreteStatsTable[[#This Row],[Source]]</f>
        <v>Unnamed ProjectItemsTotal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13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70.99858296109538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29.371181698013853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36.715936903477598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142.34474166510299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4.9607846640384402E-2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325.009989822124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5">
        <f>IF((DiscreteStatsTable[[#This Row],[RepsRequested]]&gt;1),DiscreteStatsTable[[#This Row],[HalfWidth]],DiscreteStatsTable[[#This Row],[BatchMeansHalfWidth]])</f>
        <v>17.74882746547117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13</v>
      </c>
      <c r="Y65">
        <f>IF(DiscreteStatsTable[[#This Row],[RepsRequested]]=DiscreteStatsTable[[#This Row],[RepsWithStatObserved]],1,0)</f>
        <v>1</v>
      </c>
    </row>
    <row r="66" spans="1:25" x14ac:dyDescent="0.25">
      <c r="A66" t="s">
        <v>67</v>
      </c>
      <c r="B66" t="s">
        <v>107</v>
      </c>
      <c r="C66">
        <v>9</v>
      </c>
      <c r="D66" t="s">
        <v>73</v>
      </c>
      <c r="E66" t="s">
        <v>78</v>
      </c>
      <c r="F66" t="s">
        <v>75</v>
      </c>
      <c r="G66">
        <v>0</v>
      </c>
      <c r="H66">
        <v>2E+20</v>
      </c>
      <c r="I66">
        <v>0</v>
      </c>
      <c r="J66">
        <v>0</v>
      </c>
      <c r="K66">
        <v>10</v>
      </c>
      <c r="L66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13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0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0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0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0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6">
        <f>IF((DiscreteStatsTable[[#This Row],[RepsRequested]]&gt;1),DiscreteStatsTable[[#This Row],[HalfWidth]],DiscreteStatsTable[[#This Row],[BatchMeansHalfWidth]])</f>
        <v>0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13</v>
      </c>
      <c r="Y66">
        <f>IF(DiscreteStatsTable[[#This Row],[RepsRequested]]=DiscreteStatsTable[[#This Row],[RepsWithStatObserved]],1,0)</f>
        <v>1</v>
      </c>
    </row>
    <row r="67" spans="1:25" x14ac:dyDescent="0.25">
      <c r="A67" t="s">
        <v>67</v>
      </c>
      <c r="B67" t="s">
        <v>107</v>
      </c>
      <c r="C67">
        <v>9</v>
      </c>
      <c r="D67" t="s">
        <v>73</v>
      </c>
      <c r="E67" t="s">
        <v>79</v>
      </c>
      <c r="F67" t="s">
        <v>75</v>
      </c>
      <c r="G67">
        <v>19.1489504438517</v>
      </c>
      <c r="H67">
        <v>2E+20</v>
      </c>
      <c r="I67">
        <v>3.6740747243398499</v>
      </c>
      <c r="J67">
        <v>29.629471856765399</v>
      </c>
      <c r="K67">
        <v>10</v>
      </c>
      <c r="L67" t="str">
        <f>DiscreteStatsTable[[#This Row],[ProjectName]]&amp;DiscreteStatsTable[[#This Row],[Name]]&amp;DiscreteStatsTable[[#This Row],[Type]]&amp;DiscreteStatsTable[[#This Row],[Source]]</f>
        <v>Unnamed ProjectItemsVA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13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20.596955115100084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2.983380490980692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16.8924384146191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25.890318314723199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4.9607846640384402E-2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93.077852048790305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7">
        <f>IF((DiscreteStatsTable[[#This Row],[RepsRequested]]&gt;1),DiscreteStatsTable[[#This Row],[HalfWidth]],DiscreteStatsTable[[#This Row],[BatchMeansHalfWidth]])</f>
        <v>1.8028387874448264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13</v>
      </c>
      <c r="Y67">
        <f>IF(DiscreteStatsTable[[#This Row],[RepsRequested]]=DiscreteStatsTable[[#This Row],[RepsWithStatObserved]],1,0)</f>
        <v>1</v>
      </c>
    </row>
    <row r="68" spans="1:25" x14ac:dyDescent="0.25">
      <c r="A68" t="s">
        <v>67</v>
      </c>
      <c r="B68" t="s">
        <v>107</v>
      </c>
      <c r="C68">
        <v>9</v>
      </c>
      <c r="D68" t="s">
        <v>73</v>
      </c>
      <c r="E68" t="s">
        <v>80</v>
      </c>
      <c r="F68" t="s">
        <v>75</v>
      </c>
      <c r="G68">
        <v>17.566986459625902</v>
      </c>
      <c r="H68">
        <v>2E+20</v>
      </c>
      <c r="I68">
        <v>0</v>
      </c>
      <c r="J68">
        <v>43.514723417074698</v>
      </c>
      <c r="K68">
        <v>10</v>
      </c>
      <c r="L68" t="str">
        <f>DiscreteStatsTable[[#This Row],[ProjectName]]&amp;DiscreteStatsTable[[#This Row],[Name]]&amp;DiscreteStatsTable[[#This Row],[Type]]&amp;DiscreteStatsTable[[#This Row],[Source]]</f>
        <v>Unnamed ProjectItemsWait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13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50.401627845995328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29.686940606550408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17.566986459625902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124.925047565667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294.70447078008698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8">
        <f>IF((DiscreteStatsTable[[#This Row],[RepsRequested]]&gt;1),DiscreteStatsTable[[#This Row],[HalfWidth]],DiscreteStatsTable[[#This Row],[BatchMeansHalfWidth]])</f>
        <v>17.939638664214318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13</v>
      </c>
      <c r="Y68">
        <f>IF(DiscreteStatsTable[[#This Row],[RepsRequested]]=DiscreteStatsTable[[#This Row],[RepsWithStatObserved]],1,0)</f>
        <v>1</v>
      </c>
    </row>
    <row r="69" spans="1:25" x14ac:dyDescent="0.25">
      <c r="A69" t="s">
        <v>67</v>
      </c>
      <c r="B69" t="s">
        <v>107</v>
      </c>
      <c r="C69">
        <v>10</v>
      </c>
      <c r="D69" t="s">
        <v>73</v>
      </c>
      <c r="E69" t="s">
        <v>74</v>
      </c>
      <c r="F69" t="s">
        <v>75</v>
      </c>
      <c r="G69">
        <v>0</v>
      </c>
      <c r="H69">
        <v>2E+20</v>
      </c>
      <c r="I69">
        <v>0</v>
      </c>
      <c r="J69">
        <v>0</v>
      </c>
      <c r="K69">
        <v>44</v>
      </c>
      <c r="L69" t="str">
        <f>DiscreteStatsTable[[#This Row],[ProjectName]]&amp;DiscreteStatsTable[[#This Row],[Name]]&amp;DiscreteStatsTable[[#This Row],[Type]]&amp;DiscreteStatsTable[[#This Row],[Source]]</f>
        <v>Unnamed ProjectItemsNVA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13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13</v>
      </c>
      <c r="Y69">
        <f>IF(DiscreteStatsTable[[#This Row],[RepsRequested]]=DiscreteStatsTable[[#This Row],[RepsWithStatObserved]],1,0)</f>
        <v>1</v>
      </c>
    </row>
    <row r="70" spans="1:25" x14ac:dyDescent="0.25">
      <c r="A70" t="s">
        <v>67</v>
      </c>
      <c r="B70" t="s">
        <v>107</v>
      </c>
      <c r="C70">
        <v>10</v>
      </c>
      <c r="D70" t="s">
        <v>73</v>
      </c>
      <c r="E70" t="s">
        <v>76</v>
      </c>
      <c r="F70" t="s">
        <v>75</v>
      </c>
      <c r="G70">
        <v>0</v>
      </c>
      <c r="H70">
        <v>2E+20</v>
      </c>
      <c r="I70">
        <v>0</v>
      </c>
      <c r="J70">
        <v>0</v>
      </c>
      <c r="K70">
        <v>44</v>
      </c>
      <c r="L70" t="str">
        <f>DiscreteStatsTable[[#This Row],[ProjectName]]&amp;DiscreteStatsTable[[#This Row],[Name]]&amp;DiscreteStatsTable[[#This Row],[Type]]&amp;DiscreteStatsTable[[#This Row],[Source]]</f>
        <v>Unnamed ProjectItemsOther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13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0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0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0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0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0">
        <f>IF((DiscreteStatsTable[[#This Row],[RepsRequested]]&gt;1),DiscreteStatsTable[[#This Row],[HalfWidth]],DiscreteStatsTable[[#This Row],[BatchMeansHalfWidth]])</f>
        <v>0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13</v>
      </c>
      <c r="Y70">
        <f>IF(DiscreteStatsTable[[#This Row],[RepsRequested]]=DiscreteStatsTable[[#This Row],[RepsWithStatObserved]],1,0)</f>
        <v>1</v>
      </c>
    </row>
    <row r="71" spans="1:25" x14ac:dyDescent="0.25">
      <c r="A71" t="s">
        <v>67</v>
      </c>
      <c r="B71" t="s">
        <v>107</v>
      </c>
      <c r="C71">
        <v>10</v>
      </c>
      <c r="D71" t="s">
        <v>73</v>
      </c>
      <c r="E71" t="s">
        <v>77</v>
      </c>
      <c r="F71" t="s">
        <v>75</v>
      </c>
      <c r="G71">
        <v>64.677968261381395</v>
      </c>
      <c r="H71">
        <v>2E+20</v>
      </c>
      <c r="I71">
        <v>0.78423142087939401</v>
      </c>
      <c r="J71">
        <v>148.907762130142</v>
      </c>
      <c r="K71">
        <v>44</v>
      </c>
      <c r="L71" t="str">
        <f>DiscreteStatsTable[[#This Row],[ProjectName]]&amp;DiscreteStatsTable[[#This Row],[Name]]&amp;DiscreteStatsTable[[#This Row],[Type]]&amp;DiscreteStatsTable[[#This Row],[Source]]</f>
        <v>Unnamed ProjectItemsTotal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13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70.99858296109538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29.371181698013853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36.715936903477598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142.34474166510299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4.9607846640384402E-2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325.009989822124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1">
        <f>IF((DiscreteStatsTable[[#This Row],[RepsRequested]]&gt;1),DiscreteStatsTable[[#This Row],[HalfWidth]],DiscreteStatsTable[[#This Row],[BatchMeansHalfWidth]])</f>
        <v>17.74882746547117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13</v>
      </c>
      <c r="Y71">
        <f>IF(DiscreteStatsTable[[#This Row],[RepsRequested]]=DiscreteStatsTable[[#This Row],[RepsWithStatObserved]],1,0)</f>
        <v>1</v>
      </c>
    </row>
    <row r="72" spans="1:25" x14ac:dyDescent="0.25">
      <c r="A72" t="s">
        <v>67</v>
      </c>
      <c r="B72" t="s">
        <v>107</v>
      </c>
      <c r="C72">
        <v>10</v>
      </c>
      <c r="D72" t="s">
        <v>73</v>
      </c>
      <c r="E72" t="s">
        <v>78</v>
      </c>
      <c r="F72" t="s">
        <v>75</v>
      </c>
      <c r="G72">
        <v>0</v>
      </c>
      <c r="H72">
        <v>2E+20</v>
      </c>
      <c r="I72">
        <v>0</v>
      </c>
      <c r="J72">
        <v>0</v>
      </c>
      <c r="K72">
        <v>44</v>
      </c>
      <c r="L72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13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0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0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0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0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2">
        <f>IF((DiscreteStatsTable[[#This Row],[RepsRequested]]&gt;1),DiscreteStatsTable[[#This Row],[HalfWidth]],DiscreteStatsTable[[#This Row],[BatchMeansHalfWidth]])</f>
        <v>0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13</v>
      </c>
      <c r="Y72">
        <f>IF(DiscreteStatsTable[[#This Row],[RepsRequested]]=DiscreteStatsTable[[#This Row],[RepsWithStatObserved]],1,0)</f>
        <v>1</v>
      </c>
    </row>
    <row r="73" spans="1:25" x14ac:dyDescent="0.25">
      <c r="A73" t="s">
        <v>67</v>
      </c>
      <c r="B73" t="s">
        <v>107</v>
      </c>
      <c r="C73">
        <v>10</v>
      </c>
      <c r="D73" t="s">
        <v>73</v>
      </c>
      <c r="E73" t="s">
        <v>79</v>
      </c>
      <c r="F73" t="s">
        <v>75</v>
      </c>
      <c r="G73">
        <v>18.844938891568098</v>
      </c>
      <c r="H73">
        <v>2E+20</v>
      </c>
      <c r="I73">
        <v>0.299975709446201</v>
      </c>
      <c r="J73">
        <v>60.996760904885797</v>
      </c>
      <c r="K73">
        <v>44</v>
      </c>
      <c r="L73" t="str">
        <f>DiscreteStatsTable[[#This Row],[ProjectName]]&amp;DiscreteStatsTable[[#This Row],[Name]]&amp;DiscreteStatsTable[[#This Row],[Type]]&amp;DiscreteStatsTable[[#This Row],[Source]]</f>
        <v>Unnamed ProjectItemsVA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13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20.596955115100084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2.983380490980692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16.8924384146191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25.890318314723199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4.9607846640384402E-2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93.077852048790305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3">
        <f>IF((DiscreteStatsTable[[#This Row],[RepsRequested]]&gt;1),DiscreteStatsTable[[#This Row],[HalfWidth]],DiscreteStatsTable[[#This Row],[BatchMeansHalfWidth]])</f>
        <v>1.8028387874448264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13</v>
      </c>
      <c r="Y73">
        <f>IF(DiscreteStatsTable[[#This Row],[RepsRequested]]=DiscreteStatsTable[[#This Row],[RepsWithStatObserved]],1,0)</f>
        <v>1</v>
      </c>
    </row>
    <row r="74" spans="1:25" x14ac:dyDescent="0.25">
      <c r="A74" t="s">
        <v>67</v>
      </c>
      <c r="B74" t="s">
        <v>107</v>
      </c>
      <c r="C74">
        <v>10</v>
      </c>
      <c r="D74" t="s">
        <v>73</v>
      </c>
      <c r="E74" t="s">
        <v>80</v>
      </c>
      <c r="F74" t="s">
        <v>75</v>
      </c>
      <c r="G74">
        <v>45.833029369813303</v>
      </c>
      <c r="H74">
        <v>2E+20</v>
      </c>
      <c r="I74">
        <v>0</v>
      </c>
      <c r="J74">
        <v>119.37426324864001</v>
      </c>
      <c r="K74">
        <v>44</v>
      </c>
      <c r="L74" t="str">
        <f>DiscreteStatsTable[[#This Row],[ProjectName]]&amp;DiscreteStatsTable[[#This Row],[Name]]&amp;DiscreteStatsTable[[#This Row],[Type]]&amp;DiscreteStatsTable[[#This Row],[Source]]</f>
        <v>Unnamed ProjectItemsWait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13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50.401627845995328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29.686940606550408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17.566986459625902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124.925047565667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294.70447078008698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4">
        <f>IF((DiscreteStatsTable[[#This Row],[RepsRequested]]&gt;1),DiscreteStatsTable[[#This Row],[HalfWidth]],DiscreteStatsTable[[#This Row],[BatchMeansHalfWidth]])</f>
        <v>17.939638664214318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13</v>
      </c>
      <c r="Y74">
        <f>IF(DiscreteStatsTable[[#This Row],[RepsRequested]]=DiscreteStatsTable[[#This Row],[RepsWithStatObserved]],1,0)</f>
        <v>1</v>
      </c>
    </row>
    <row r="75" spans="1:25" x14ac:dyDescent="0.25">
      <c r="A75" t="s">
        <v>67</v>
      </c>
      <c r="B75" t="s">
        <v>107</v>
      </c>
      <c r="C75">
        <v>11</v>
      </c>
      <c r="D75" t="s">
        <v>73</v>
      </c>
      <c r="E75" t="s">
        <v>74</v>
      </c>
      <c r="F75" t="s">
        <v>75</v>
      </c>
      <c r="G75">
        <v>0</v>
      </c>
      <c r="H75">
        <v>2E+20</v>
      </c>
      <c r="I75">
        <v>0</v>
      </c>
      <c r="J75">
        <v>0</v>
      </c>
      <c r="K75">
        <v>35</v>
      </c>
      <c r="L75" t="str">
        <f>DiscreteStatsTable[[#This Row],[ProjectName]]&amp;DiscreteStatsTable[[#This Row],[Name]]&amp;DiscreteStatsTable[[#This Row],[Type]]&amp;DiscreteStatsTable[[#This Row],[Source]]</f>
        <v>Unnamed ProjectItemsNVA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13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13</v>
      </c>
      <c r="Y75">
        <f>IF(DiscreteStatsTable[[#This Row],[RepsRequested]]=DiscreteStatsTable[[#This Row],[RepsWithStatObserved]],1,0)</f>
        <v>1</v>
      </c>
    </row>
    <row r="76" spans="1:25" x14ac:dyDescent="0.25">
      <c r="A76" t="s">
        <v>67</v>
      </c>
      <c r="B76" t="s">
        <v>107</v>
      </c>
      <c r="C76">
        <v>11</v>
      </c>
      <c r="D76" t="s">
        <v>73</v>
      </c>
      <c r="E76" t="s">
        <v>76</v>
      </c>
      <c r="F76" t="s">
        <v>75</v>
      </c>
      <c r="G76">
        <v>0</v>
      </c>
      <c r="H76">
        <v>2E+20</v>
      </c>
      <c r="I76">
        <v>0</v>
      </c>
      <c r="J76">
        <v>0</v>
      </c>
      <c r="K76">
        <v>35</v>
      </c>
      <c r="L76" t="str">
        <f>DiscreteStatsTable[[#This Row],[ProjectName]]&amp;DiscreteStatsTable[[#This Row],[Name]]&amp;DiscreteStatsTable[[#This Row],[Type]]&amp;DiscreteStatsTable[[#This Row],[Source]]</f>
        <v>Unnamed ProjectItemsOther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13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0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0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0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0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6">
        <f>IF((DiscreteStatsTable[[#This Row],[RepsRequested]]&gt;1),DiscreteStatsTable[[#This Row],[HalfWidth]],DiscreteStatsTable[[#This Row],[BatchMeansHalfWidth]])</f>
        <v>0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13</v>
      </c>
      <c r="Y76">
        <f>IF(DiscreteStatsTable[[#This Row],[RepsRequested]]=DiscreteStatsTable[[#This Row],[RepsWithStatObserved]],1,0)</f>
        <v>1</v>
      </c>
    </row>
    <row r="77" spans="1:25" x14ac:dyDescent="0.25">
      <c r="A77" t="s">
        <v>67</v>
      </c>
      <c r="B77" t="s">
        <v>107</v>
      </c>
      <c r="C77">
        <v>11</v>
      </c>
      <c r="D77" t="s">
        <v>73</v>
      </c>
      <c r="E77" t="s">
        <v>77</v>
      </c>
      <c r="F77" t="s">
        <v>75</v>
      </c>
      <c r="G77">
        <v>43.363288341678697</v>
      </c>
      <c r="H77">
        <v>2E+20</v>
      </c>
      <c r="I77">
        <v>4.9607846640384402E-2</v>
      </c>
      <c r="J77">
        <v>115.545474408378</v>
      </c>
      <c r="K77">
        <v>35</v>
      </c>
      <c r="L77" t="str">
        <f>DiscreteStatsTable[[#This Row],[ProjectName]]&amp;DiscreteStatsTable[[#This Row],[Name]]&amp;DiscreteStatsTable[[#This Row],[Type]]&amp;DiscreteStatsTable[[#This Row],[Source]]</f>
        <v>Unnamed ProjectItemsTotal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13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70.99858296109538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29.371181698013853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36.715936903477598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142.34474166510299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4.9607846640384402E-2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325.009989822124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7">
        <f>IF((DiscreteStatsTable[[#This Row],[RepsRequested]]&gt;1),DiscreteStatsTable[[#This Row],[HalfWidth]],DiscreteStatsTable[[#This Row],[BatchMeansHalfWidth]])</f>
        <v>17.74882746547117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13</v>
      </c>
      <c r="Y77">
        <f>IF(DiscreteStatsTable[[#This Row],[RepsRequested]]=DiscreteStatsTable[[#This Row],[RepsWithStatObserved]],1,0)</f>
        <v>1</v>
      </c>
    </row>
    <row r="78" spans="1:25" x14ac:dyDescent="0.25">
      <c r="A78" t="s">
        <v>67</v>
      </c>
      <c r="B78" t="s">
        <v>107</v>
      </c>
      <c r="C78">
        <v>11</v>
      </c>
      <c r="D78" t="s">
        <v>73</v>
      </c>
      <c r="E78" t="s">
        <v>78</v>
      </c>
      <c r="F78" t="s">
        <v>75</v>
      </c>
      <c r="G78">
        <v>0</v>
      </c>
      <c r="H78">
        <v>2E+20</v>
      </c>
      <c r="I78">
        <v>0</v>
      </c>
      <c r="J78">
        <v>0</v>
      </c>
      <c r="K78">
        <v>35</v>
      </c>
      <c r="L78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13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8">
        <f>IF((DiscreteStatsTable[[#This Row],[RepsRequested]]&gt;1),DiscreteStatsTable[[#This Row],[HalfWidth]],DiscreteStatsTable[[#This Row],[BatchMeansHalfWidth]])</f>
        <v>0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13</v>
      </c>
      <c r="Y78">
        <f>IF(DiscreteStatsTable[[#This Row],[RepsRequested]]=DiscreteStatsTable[[#This Row],[RepsWithStatObserved]],1,0)</f>
        <v>1</v>
      </c>
    </row>
    <row r="79" spans="1:25" x14ac:dyDescent="0.25">
      <c r="A79" t="s">
        <v>67</v>
      </c>
      <c r="B79" t="s">
        <v>107</v>
      </c>
      <c r="C79">
        <v>11</v>
      </c>
      <c r="D79" t="s">
        <v>73</v>
      </c>
      <c r="E79" t="s">
        <v>79</v>
      </c>
      <c r="F79" t="s">
        <v>75</v>
      </c>
      <c r="G79">
        <v>18.3758419247945</v>
      </c>
      <c r="H79">
        <v>2E+20</v>
      </c>
      <c r="I79">
        <v>4.9607846640384402E-2</v>
      </c>
      <c r="J79">
        <v>42.322217142074301</v>
      </c>
      <c r="K79">
        <v>35</v>
      </c>
      <c r="L79" t="str">
        <f>DiscreteStatsTable[[#This Row],[ProjectName]]&amp;DiscreteStatsTable[[#This Row],[Name]]&amp;DiscreteStatsTable[[#This Row],[Type]]&amp;DiscreteStatsTable[[#This Row],[Source]]</f>
        <v>Unnamed ProjectItemsVA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13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20.596955115100084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2.983380490980692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16.8924384146191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25.890318314723199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4.9607846640384402E-2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93.077852048790305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79">
        <f>IF((DiscreteStatsTable[[#This Row],[RepsRequested]]&gt;1),DiscreteStatsTable[[#This Row],[HalfWidth]],DiscreteStatsTable[[#This Row],[BatchMeansHalfWidth]])</f>
        <v>1.8028387874448264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13</v>
      </c>
      <c r="Y79">
        <f>IF(DiscreteStatsTable[[#This Row],[RepsRequested]]=DiscreteStatsTable[[#This Row],[RepsWithStatObserved]],1,0)</f>
        <v>1</v>
      </c>
    </row>
    <row r="80" spans="1:25" x14ac:dyDescent="0.25">
      <c r="A80" t="s">
        <v>67</v>
      </c>
      <c r="B80" t="s">
        <v>107</v>
      </c>
      <c r="C80">
        <v>11</v>
      </c>
      <c r="D80" t="s">
        <v>73</v>
      </c>
      <c r="E80" t="s">
        <v>80</v>
      </c>
      <c r="F80" t="s">
        <v>75</v>
      </c>
      <c r="G80">
        <v>24.9874464168843</v>
      </c>
      <c r="H80">
        <v>2E+20</v>
      </c>
      <c r="I80">
        <v>0</v>
      </c>
      <c r="J80">
        <v>83.065632174606407</v>
      </c>
      <c r="K80">
        <v>35</v>
      </c>
      <c r="L80" t="str">
        <f>DiscreteStatsTable[[#This Row],[ProjectName]]&amp;DiscreteStatsTable[[#This Row],[Name]]&amp;DiscreteStatsTable[[#This Row],[Type]]&amp;DiscreteStatsTable[[#This Row],[Source]]</f>
        <v>Unnamed ProjectItemsWait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13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50.401627845995328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29.686940606550408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17.566986459625902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124.925047565667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294.70447078008698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0">
        <f>IF((DiscreteStatsTable[[#This Row],[RepsRequested]]&gt;1),DiscreteStatsTable[[#This Row],[HalfWidth]],DiscreteStatsTable[[#This Row],[BatchMeansHalfWidth]])</f>
        <v>17.939638664214318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13</v>
      </c>
      <c r="Y80">
        <f>IF(DiscreteStatsTable[[#This Row],[RepsRequested]]=DiscreteStatsTable[[#This Row],[RepsWithStatObserved]],1,0)</f>
        <v>1</v>
      </c>
    </row>
    <row r="81" spans="1:25" x14ac:dyDescent="0.25">
      <c r="A81" t="s">
        <v>67</v>
      </c>
      <c r="B81" t="s">
        <v>107</v>
      </c>
      <c r="C81">
        <v>12</v>
      </c>
      <c r="D81" t="s">
        <v>73</v>
      </c>
      <c r="E81" t="s">
        <v>74</v>
      </c>
      <c r="F81" t="s">
        <v>75</v>
      </c>
      <c r="G81">
        <v>0</v>
      </c>
      <c r="H81">
        <v>2E+20</v>
      </c>
      <c r="I81">
        <v>0</v>
      </c>
      <c r="J81">
        <v>0</v>
      </c>
      <c r="K81">
        <v>30</v>
      </c>
      <c r="L81" t="str">
        <f>DiscreteStatsTable[[#This Row],[ProjectName]]&amp;DiscreteStatsTable[[#This Row],[Name]]&amp;DiscreteStatsTable[[#This Row],[Type]]&amp;DiscreteStatsTable[[#This Row],[Source]]</f>
        <v>Unnamed ProjectItemsNVA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13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13</v>
      </c>
      <c r="Y81">
        <f>IF(DiscreteStatsTable[[#This Row],[RepsRequested]]=DiscreteStatsTable[[#This Row],[RepsWithStatObserved]],1,0)</f>
        <v>1</v>
      </c>
    </row>
    <row r="82" spans="1:25" x14ac:dyDescent="0.25">
      <c r="A82" t="s">
        <v>67</v>
      </c>
      <c r="B82" t="s">
        <v>107</v>
      </c>
      <c r="C82">
        <v>12</v>
      </c>
      <c r="D82" t="s">
        <v>73</v>
      </c>
      <c r="E82" t="s">
        <v>76</v>
      </c>
      <c r="F82" t="s">
        <v>75</v>
      </c>
      <c r="G82">
        <v>0</v>
      </c>
      <c r="H82">
        <v>2E+20</v>
      </c>
      <c r="I82">
        <v>0</v>
      </c>
      <c r="J82">
        <v>0</v>
      </c>
      <c r="K82">
        <v>30</v>
      </c>
      <c r="L82" t="str">
        <f>DiscreteStatsTable[[#This Row],[ProjectName]]&amp;DiscreteStatsTable[[#This Row],[Name]]&amp;DiscreteStatsTable[[#This Row],[Type]]&amp;DiscreteStatsTable[[#This Row],[Source]]</f>
        <v>Unnamed ProjectItemsOther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13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2">
        <f>IF((DiscreteStatsTable[[#This Row],[RepsRequested]]&gt;1),DiscreteStatsTable[[#This Row],[HalfWidth]],DiscreteStatsTable[[#This Row],[BatchMeansHalfWidth]])</f>
        <v>0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13</v>
      </c>
      <c r="Y82">
        <f>IF(DiscreteStatsTable[[#This Row],[RepsRequested]]=DiscreteStatsTable[[#This Row],[RepsWithStatObserved]],1,0)</f>
        <v>1</v>
      </c>
    </row>
    <row r="83" spans="1:25" x14ac:dyDescent="0.25">
      <c r="A83" t="s">
        <v>67</v>
      </c>
      <c r="B83" t="s">
        <v>107</v>
      </c>
      <c r="C83">
        <v>12</v>
      </c>
      <c r="D83" t="s">
        <v>73</v>
      </c>
      <c r="E83" t="s">
        <v>77</v>
      </c>
      <c r="F83" t="s">
        <v>75</v>
      </c>
      <c r="G83">
        <v>66.654908046474702</v>
      </c>
      <c r="H83">
        <v>2E+20</v>
      </c>
      <c r="I83">
        <v>1.4504101960251901</v>
      </c>
      <c r="J83">
        <v>136.82886932396499</v>
      </c>
      <c r="K83">
        <v>30</v>
      </c>
      <c r="L83" t="str">
        <f>DiscreteStatsTable[[#This Row],[ProjectName]]&amp;DiscreteStatsTable[[#This Row],[Name]]&amp;DiscreteStatsTable[[#This Row],[Type]]&amp;DiscreteStatsTable[[#This Row],[Source]]</f>
        <v>Unnamed ProjectItemsTotal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13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70.99858296109538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29.371181698013853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36.715936903477598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142.34474166510299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4.9607846640384402E-2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325.009989822124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3">
        <f>IF((DiscreteStatsTable[[#This Row],[RepsRequested]]&gt;1),DiscreteStatsTable[[#This Row],[HalfWidth]],DiscreteStatsTable[[#This Row],[BatchMeansHalfWidth]])</f>
        <v>17.74882746547117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13</v>
      </c>
      <c r="Y83">
        <f>IF(DiscreteStatsTable[[#This Row],[RepsRequested]]=DiscreteStatsTable[[#This Row],[RepsWithStatObserved]],1,0)</f>
        <v>1</v>
      </c>
    </row>
    <row r="84" spans="1:25" x14ac:dyDescent="0.25">
      <c r="A84" t="s">
        <v>67</v>
      </c>
      <c r="B84" t="s">
        <v>107</v>
      </c>
      <c r="C84">
        <v>12</v>
      </c>
      <c r="D84" t="s">
        <v>73</v>
      </c>
      <c r="E84" t="s">
        <v>78</v>
      </c>
      <c r="F84" t="s">
        <v>75</v>
      </c>
      <c r="G84">
        <v>0</v>
      </c>
      <c r="H84">
        <v>2E+20</v>
      </c>
      <c r="I84">
        <v>0</v>
      </c>
      <c r="J84">
        <v>0</v>
      </c>
      <c r="K84">
        <v>30</v>
      </c>
      <c r="L84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13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4">
        <f>IF((DiscreteStatsTable[[#This Row],[RepsRequested]]&gt;1),DiscreteStatsTable[[#This Row],[HalfWidth]],DiscreteStatsTable[[#This Row],[BatchMeansHalfWidth]])</f>
        <v>0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13</v>
      </c>
      <c r="Y84">
        <f>IF(DiscreteStatsTable[[#This Row],[RepsRequested]]=DiscreteStatsTable[[#This Row],[RepsWithStatObserved]],1,0)</f>
        <v>1</v>
      </c>
    </row>
    <row r="85" spans="1:25" x14ac:dyDescent="0.25">
      <c r="A85" t="s">
        <v>67</v>
      </c>
      <c r="B85" t="s">
        <v>107</v>
      </c>
      <c r="C85">
        <v>12</v>
      </c>
      <c r="D85" t="s">
        <v>73</v>
      </c>
      <c r="E85" t="s">
        <v>79</v>
      </c>
      <c r="F85" t="s">
        <v>75</v>
      </c>
      <c r="G85">
        <v>18.095633515614601</v>
      </c>
      <c r="H85">
        <v>2E+20</v>
      </c>
      <c r="I85">
        <v>0.261766338793677</v>
      </c>
      <c r="J85">
        <v>64.542417730821001</v>
      </c>
      <c r="K85">
        <v>30</v>
      </c>
      <c r="L85" t="str">
        <f>DiscreteStatsTable[[#This Row],[ProjectName]]&amp;DiscreteStatsTable[[#This Row],[Name]]&amp;DiscreteStatsTable[[#This Row],[Type]]&amp;DiscreteStatsTable[[#This Row],[Source]]</f>
        <v>Unnamed ProjectItemsVA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13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20.596955115100084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2.983380490980692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16.8924384146191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25.890318314723199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4.9607846640384402E-2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93.077852048790305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5">
        <f>IF((DiscreteStatsTable[[#This Row],[RepsRequested]]&gt;1),DiscreteStatsTable[[#This Row],[HalfWidth]],DiscreteStatsTable[[#This Row],[BatchMeansHalfWidth]])</f>
        <v>1.8028387874448264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13</v>
      </c>
      <c r="Y85">
        <f>IF(DiscreteStatsTable[[#This Row],[RepsRequested]]=DiscreteStatsTable[[#This Row],[RepsWithStatObserved]],1,0)</f>
        <v>1</v>
      </c>
    </row>
    <row r="86" spans="1:25" x14ac:dyDescent="0.25">
      <c r="A86" t="s">
        <v>67</v>
      </c>
      <c r="B86" t="s">
        <v>107</v>
      </c>
      <c r="C86">
        <v>12</v>
      </c>
      <c r="D86" t="s">
        <v>73</v>
      </c>
      <c r="E86" t="s">
        <v>80</v>
      </c>
      <c r="F86" t="s">
        <v>75</v>
      </c>
      <c r="G86">
        <v>48.559274530860101</v>
      </c>
      <c r="H86">
        <v>2E+20</v>
      </c>
      <c r="I86">
        <v>0</v>
      </c>
      <c r="J86">
        <v>106.453282522641</v>
      </c>
      <c r="K86">
        <v>30</v>
      </c>
      <c r="L86" t="str">
        <f>DiscreteStatsTable[[#This Row],[ProjectName]]&amp;DiscreteStatsTable[[#This Row],[Name]]&amp;DiscreteStatsTable[[#This Row],[Type]]&amp;DiscreteStatsTable[[#This Row],[Source]]</f>
        <v>Unnamed ProjectItemsWait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13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50.401627845995328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29.686940606550408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17.566986459625902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124.925047565667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294.70447078008698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6">
        <f>IF((DiscreteStatsTable[[#This Row],[RepsRequested]]&gt;1),DiscreteStatsTable[[#This Row],[HalfWidth]],DiscreteStatsTable[[#This Row],[BatchMeansHalfWidth]])</f>
        <v>17.939638664214318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13</v>
      </c>
      <c r="Y86">
        <f>IF(DiscreteStatsTable[[#This Row],[RepsRequested]]=DiscreteStatsTable[[#This Row],[RepsWithStatObserved]],1,0)</f>
        <v>1</v>
      </c>
    </row>
    <row r="87" spans="1:25" x14ac:dyDescent="0.25">
      <c r="A87" t="s">
        <v>67</v>
      </c>
      <c r="B87" t="s">
        <v>107</v>
      </c>
      <c r="C87">
        <v>13</v>
      </c>
      <c r="D87" t="s">
        <v>73</v>
      </c>
      <c r="E87" t="s">
        <v>74</v>
      </c>
      <c r="F87" t="s">
        <v>75</v>
      </c>
      <c r="G87">
        <v>0</v>
      </c>
      <c r="H87">
        <v>2E+20</v>
      </c>
      <c r="I87">
        <v>0</v>
      </c>
      <c r="J87">
        <v>0</v>
      </c>
      <c r="K87">
        <v>30</v>
      </c>
      <c r="L87" t="str">
        <f>DiscreteStatsTable[[#This Row],[ProjectName]]&amp;DiscreteStatsTable[[#This Row],[Name]]&amp;DiscreteStatsTable[[#This Row],[Type]]&amp;DiscreteStatsTable[[#This Row],[Source]]</f>
        <v>Unnamed ProjectItemsNVA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13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13</v>
      </c>
      <c r="Y87">
        <f>IF(DiscreteStatsTable[[#This Row],[RepsRequested]]=DiscreteStatsTable[[#This Row],[RepsWithStatObserved]],1,0)</f>
        <v>1</v>
      </c>
    </row>
    <row r="88" spans="1:25" x14ac:dyDescent="0.25">
      <c r="A88" t="s">
        <v>67</v>
      </c>
      <c r="B88" t="s">
        <v>107</v>
      </c>
      <c r="C88">
        <v>13</v>
      </c>
      <c r="D88" t="s">
        <v>73</v>
      </c>
      <c r="E88" t="s">
        <v>76</v>
      </c>
      <c r="F88" t="s">
        <v>75</v>
      </c>
      <c r="G88">
        <v>0</v>
      </c>
      <c r="H88">
        <v>2E+20</v>
      </c>
      <c r="I88">
        <v>0</v>
      </c>
      <c r="J88">
        <v>0</v>
      </c>
      <c r="K88">
        <v>30</v>
      </c>
      <c r="L88" t="str">
        <f>DiscreteStatsTable[[#This Row],[ProjectName]]&amp;DiscreteStatsTable[[#This Row],[Name]]&amp;DiscreteStatsTable[[#This Row],[Type]]&amp;DiscreteStatsTable[[#This Row],[Source]]</f>
        <v>Unnamed ProjectItemsOther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13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8">
        <f>IF((DiscreteStatsTable[[#This Row],[RepsRequested]]&gt;1),DiscreteStatsTable[[#This Row],[HalfWidth]],DiscreteStatsTable[[#This Row],[BatchMeansHalfWidth]])</f>
        <v>0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13</v>
      </c>
      <c r="Y88">
        <f>IF(DiscreteStatsTable[[#This Row],[RepsRequested]]=DiscreteStatsTable[[#This Row],[RepsWithStatObserved]],1,0)</f>
        <v>1</v>
      </c>
    </row>
    <row r="89" spans="1:25" x14ac:dyDescent="0.25">
      <c r="A89" t="s">
        <v>67</v>
      </c>
      <c r="B89" t="s">
        <v>107</v>
      </c>
      <c r="C89">
        <v>13</v>
      </c>
      <c r="D89" t="s">
        <v>73</v>
      </c>
      <c r="E89" t="s">
        <v>77</v>
      </c>
      <c r="F89" t="s">
        <v>75</v>
      </c>
      <c r="G89">
        <v>78.123690790526197</v>
      </c>
      <c r="H89">
        <v>2E+20</v>
      </c>
      <c r="I89">
        <v>7.6802272152733302</v>
      </c>
      <c r="J89">
        <v>123.626850502785</v>
      </c>
      <c r="K89">
        <v>30</v>
      </c>
      <c r="L89" t="str">
        <f>DiscreteStatsTable[[#This Row],[ProjectName]]&amp;DiscreteStatsTable[[#This Row],[Name]]&amp;DiscreteStatsTable[[#This Row],[Type]]&amp;DiscreteStatsTable[[#This Row],[Source]]</f>
        <v>Unnamed ProjectItemsTotal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13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70.99858296109538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29.371181698013853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36.715936903477598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142.34474166510299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4.9607846640384402E-2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325.009989822124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89">
        <f>IF((DiscreteStatsTable[[#This Row],[RepsRequested]]&gt;1),DiscreteStatsTable[[#This Row],[HalfWidth]],DiscreteStatsTable[[#This Row],[BatchMeansHalfWidth]])</f>
        <v>17.74882746547117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13</v>
      </c>
      <c r="Y89">
        <f>IF(DiscreteStatsTable[[#This Row],[RepsRequested]]=DiscreteStatsTable[[#This Row],[RepsWithStatObserved]],1,0)</f>
        <v>1</v>
      </c>
    </row>
    <row r="90" spans="1:25" x14ac:dyDescent="0.25">
      <c r="A90" t="s">
        <v>67</v>
      </c>
      <c r="B90" t="s">
        <v>107</v>
      </c>
      <c r="C90">
        <v>13</v>
      </c>
      <c r="D90" t="s">
        <v>73</v>
      </c>
      <c r="E90" t="s">
        <v>78</v>
      </c>
      <c r="F90" t="s">
        <v>75</v>
      </c>
      <c r="G90">
        <v>0</v>
      </c>
      <c r="H90">
        <v>2E+20</v>
      </c>
      <c r="I90">
        <v>0</v>
      </c>
      <c r="J90">
        <v>0</v>
      </c>
      <c r="K90">
        <v>30</v>
      </c>
      <c r="L90" t="str">
        <f>DiscreteStatsTable[[#This Row],[ProjectName]]&amp;DiscreteStatsTable[[#This Row],[Name]]&amp;DiscreteStatsTable[[#This Row],[Type]]&amp;DiscreteStatsTable[[#This Row],[Source]]</f>
        <v>Unnamed ProjectItemsTransfer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13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0">
        <f>IF((DiscreteStatsTable[[#This Row],[RepsRequested]]&gt;1),DiscreteStatsTable[[#This Row],[HalfWidth]],DiscreteStatsTable[[#This Row],[BatchMeansHalfWidth]])</f>
        <v>0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13</v>
      </c>
      <c r="Y90">
        <f>IF(DiscreteStatsTable[[#This Row],[RepsRequested]]=DiscreteStatsTable[[#This Row],[RepsWithStatObserved]],1,0)</f>
        <v>1</v>
      </c>
    </row>
    <row r="91" spans="1:25" x14ac:dyDescent="0.25">
      <c r="A91" t="s">
        <v>67</v>
      </c>
      <c r="B91" t="s">
        <v>107</v>
      </c>
      <c r="C91">
        <v>13</v>
      </c>
      <c r="D91" t="s">
        <v>73</v>
      </c>
      <c r="E91" t="s">
        <v>79</v>
      </c>
      <c r="F91" t="s">
        <v>75</v>
      </c>
      <c r="G91">
        <v>25.890318314723199</v>
      </c>
      <c r="H91">
        <v>2E+20</v>
      </c>
      <c r="I91">
        <v>2.6375761741842898</v>
      </c>
      <c r="J91">
        <v>78.963066103272695</v>
      </c>
      <c r="K91">
        <v>30</v>
      </c>
      <c r="L91" t="str">
        <f>DiscreteStatsTable[[#This Row],[ProjectName]]&amp;DiscreteStatsTable[[#This Row],[Name]]&amp;DiscreteStatsTable[[#This Row],[Type]]&amp;DiscreteStatsTable[[#This Row],[Source]]</f>
        <v>Unnamed ProjectItemsVA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13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20.596955115100084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2.983380490980692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1.8028387874448264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16.8924384146191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25.890318314723199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4.9607846640384402E-2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93.077852048790305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1">
        <f>IF((DiscreteStatsTable[[#This Row],[RepsRequested]]&gt;1),DiscreteStatsTable[[#This Row],[HalfWidth]],DiscreteStatsTable[[#This Row],[BatchMeansHalfWidth]])</f>
        <v>1.8028387874448264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13</v>
      </c>
      <c r="Y91">
        <f>IF(DiscreteStatsTable[[#This Row],[RepsRequested]]=DiscreteStatsTable[[#This Row],[RepsWithStatObserved]],1,0)</f>
        <v>1</v>
      </c>
    </row>
    <row r="92" spans="1:25" x14ac:dyDescent="0.25">
      <c r="A92" t="s">
        <v>67</v>
      </c>
      <c r="B92" t="s">
        <v>107</v>
      </c>
      <c r="C92">
        <v>13</v>
      </c>
      <c r="D92" t="s">
        <v>73</v>
      </c>
      <c r="E92" t="s">
        <v>80</v>
      </c>
      <c r="F92" t="s">
        <v>75</v>
      </c>
      <c r="G92">
        <v>52.233372475803002</v>
      </c>
      <c r="H92">
        <v>2E+20</v>
      </c>
      <c r="I92">
        <v>0</v>
      </c>
      <c r="J92">
        <v>93.062749133456094</v>
      </c>
      <c r="K92">
        <v>30</v>
      </c>
      <c r="L92" t="str">
        <f>DiscreteStatsTable[[#This Row],[ProjectName]]&amp;DiscreteStatsTable[[#This Row],[Name]]&amp;DiscreteStatsTable[[#This Row],[Type]]&amp;DiscreteStatsTable[[#This Row],[Source]]</f>
        <v>Unnamed ProjectItemsWait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13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50.401627845995328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29.686940606550408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17.939638664214318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17.566986459625902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124.925047565667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294.70447078008698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2">
        <f>IF((DiscreteStatsTable[[#This Row],[RepsRequested]]&gt;1),DiscreteStatsTable[[#This Row],[HalfWidth]],DiscreteStatsTable[[#This Row],[BatchMeansHalfWidth]])</f>
        <v>17.939638664214318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13</v>
      </c>
      <c r="Y92">
        <f>IF(DiscreteStatsTable[[#This Row],[RepsRequested]]=DiscreteStatsTable[[#This Row],[RepsWithStatObserved]],1,0)</f>
        <v>1</v>
      </c>
    </row>
    <row r="93" spans="1:25" x14ac:dyDescent="0.25">
      <c r="A93" t="s">
        <v>67</v>
      </c>
      <c r="B93" t="s">
        <v>107</v>
      </c>
      <c r="C93">
        <v>1</v>
      </c>
      <c r="D93" t="s">
        <v>81</v>
      </c>
      <c r="E93" t="s">
        <v>82</v>
      </c>
      <c r="F93" t="s">
        <v>83</v>
      </c>
      <c r="G93">
        <v>99.707053515598503</v>
      </c>
      <c r="H93">
        <v>2E+20</v>
      </c>
      <c r="I93">
        <v>0.152164008586226</v>
      </c>
      <c r="J93">
        <v>223.48797341429699</v>
      </c>
      <c r="K93">
        <v>45</v>
      </c>
      <c r="L93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13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70.99858296109538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29.371181698013853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36.715936903477598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142.34474166510299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4.9607846640384402E-2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325.009989822124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3">
        <f>IF((DiscreteStatsTable[[#This Row],[RepsRequested]]&gt;1),DiscreteStatsTable[[#This Row],[HalfWidth]],DiscreteStatsTable[[#This Row],[BatchMeansHalfWidth]])</f>
        <v>17.74882746547117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13</v>
      </c>
      <c r="Y93">
        <f>IF(DiscreteStatsTable[[#This Row],[RepsRequested]]=DiscreteStatsTable[[#This Row],[RepsWithStatObserved]],1,0)</f>
        <v>1</v>
      </c>
    </row>
    <row r="94" spans="1:25" x14ac:dyDescent="0.25">
      <c r="A94" t="s">
        <v>67</v>
      </c>
      <c r="B94" t="s">
        <v>107</v>
      </c>
      <c r="C94">
        <v>2</v>
      </c>
      <c r="D94" t="s">
        <v>81</v>
      </c>
      <c r="E94" t="s">
        <v>82</v>
      </c>
      <c r="F94" t="s">
        <v>83</v>
      </c>
      <c r="G94">
        <v>38.999709780670003</v>
      </c>
      <c r="H94">
        <v>2E+20</v>
      </c>
      <c r="I94">
        <v>0.77349192250716203</v>
      </c>
      <c r="J94">
        <v>78.046714612535794</v>
      </c>
      <c r="K94">
        <v>35</v>
      </c>
      <c r="L94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13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70.99858296109538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29.371181698013853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36.715936903477598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142.34474166510299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4.9607846640384402E-2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325.009989822124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4">
        <f>IF((DiscreteStatsTable[[#This Row],[RepsRequested]]&gt;1),DiscreteStatsTable[[#This Row],[HalfWidth]],DiscreteStatsTable[[#This Row],[BatchMeansHalfWidth]])</f>
        <v>17.74882746547117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13</v>
      </c>
      <c r="Y94">
        <f>IF(DiscreteStatsTable[[#This Row],[RepsRequested]]=DiscreteStatsTable[[#This Row],[RepsWithStatObserved]],1,0)</f>
        <v>1</v>
      </c>
    </row>
    <row r="95" spans="1:25" x14ac:dyDescent="0.25">
      <c r="A95" t="s">
        <v>67</v>
      </c>
      <c r="B95" t="s">
        <v>107</v>
      </c>
      <c r="C95">
        <v>3</v>
      </c>
      <c r="D95" t="s">
        <v>81</v>
      </c>
      <c r="E95" t="s">
        <v>82</v>
      </c>
      <c r="F95" t="s">
        <v>83</v>
      </c>
      <c r="G95">
        <v>142.34474166510299</v>
      </c>
      <c r="H95">
        <v>2E+20</v>
      </c>
      <c r="I95">
        <v>10.692261518754099</v>
      </c>
      <c r="J95">
        <v>325.009989822124</v>
      </c>
      <c r="K95">
        <v>60</v>
      </c>
      <c r="L95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13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70.99858296109538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29.371181698013853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36.715936903477598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142.34474166510299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4.9607846640384402E-2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325.009989822124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5">
        <f>IF((DiscreteStatsTable[[#This Row],[RepsRequested]]&gt;1),DiscreteStatsTable[[#This Row],[HalfWidth]],DiscreteStatsTable[[#This Row],[BatchMeansHalfWidth]])</f>
        <v>17.74882746547117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13</v>
      </c>
      <c r="Y95">
        <f>IF(DiscreteStatsTable[[#This Row],[RepsRequested]]=DiscreteStatsTable[[#This Row],[RepsWithStatObserved]],1,0)</f>
        <v>1</v>
      </c>
    </row>
    <row r="96" spans="1:25" x14ac:dyDescent="0.25">
      <c r="A96" t="s">
        <v>67</v>
      </c>
      <c r="B96" t="s">
        <v>107</v>
      </c>
      <c r="C96">
        <v>4</v>
      </c>
      <c r="D96" t="s">
        <v>81</v>
      </c>
      <c r="E96" t="s">
        <v>82</v>
      </c>
      <c r="F96" t="s">
        <v>83</v>
      </c>
      <c r="G96">
        <v>60.093936528651703</v>
      </c>
      <c r="H96">
        <v>2E+20</v>
      </c>
      <c r="I96">
        <v>24.224341691845702</v>
      </c>
      <c r="J96">
        <v>104.804486134078</v>
      </c>
      <c r="K96">
        <v>10</v>
      </c>
      <c r="L96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13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70.99858296109538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29.371181698013853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36.715936903477598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142.34474166510299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4.9607846640384402E-2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325.009989822124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6">
        <f>IF((DiscreteStatsTable[[#This Row],[RepsRequested]]&gt;1),DiscreteStatsTable[[#This Row],[HalfWidth]],DiscreteStatsTable[[#This Row],[BatchMeansHalfWidth]])</f>
        <v>17.74882746547117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13</v>
      </c>
      <c r="Y96">
        <f>IF(DiscreteStatsTable[[#This Row],[RepsRequested]]=DiscreteStatsTable[[#This Row],[RepsWithStatObserved]],1,0)</f>
        <v>1</v>
      </c>
    </row>
    <row r="97" spans="1:25" x14ac:dyDescent="0.25">
      <c r="A97" t="s">
        <v>67</v>
      </c>
      <c r="B97" t="s">
        <v>107</v>
      </c>
      <c r="C97">
        <v>5</v>
      </c>
      <c r="D97" t="s">
        <v>81</v>
      </c>
      <c r="E97" t="s">
        <v>82</v>
      </c>
      <c r="F97" t="s">
        <v>83</v>
      </c>
      <c r="G97">
        <v>48.9970601757176</v>
      </c>
      <c r="H97">
        <v>2E+20</v>
      </c>
      <c r="I97">
        <v>18.178312836459199</v>
      </c>
      <c r="J97">
        <v>86.313837988033896</v>
      </c>
      <c r="K97">
        <v>10</v>
      </c>
      <c r="L97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13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70.99858296109538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29.371181698013853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36.715936903477598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142.34474166510299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4.9607846640384402E-2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325.009989822124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7">
        <f>IF((DiscreteStatsTable[[#This Row],[RepsRequested]]&gt;1),DiscreteStatsTable[[#This Row],[HalfWidth]],DiscreteStatsTable[[#This Row],[BatchMeansHalfWidth]])</f>
        <v>17.74882746547117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13</v>
      </c>
      <c r="Y97">
        <f>IF(DiscreteStatsTable[[#This Row],[RepsRequested]]=DiscreteStatsTable[[#This Row],[RepsWithStatObserved]],1,0)</f>
        <v>1</v>
      </c>
    </row>
    <row r="98" spans="1:25" x14ac:dyDescent="0.25">
      <c r="A98" t="s">
        <v>67</v>
      </c>
      <c r="B98" t="s">
        <v>107</v>
      </c>
      <c r="C98">
        <v>6</v>
      </c>
      <c r="D98" t="s">
        <v>81</v>
      </c>
      <c r="E98" t="s">
        <v>82</v>
      </c>
      <c r="F98" t="s">
        <v>83</v>
      </c>
      <c r="G98">
        <v>77.088436440119807</v>
      </c>
      <c r="H98">
        <v>2E+20</v>
      </c>
      <c r="I98">
        <v>1.7340741106651201</v>
      </c>
      <c r="J98">
        <v>172.22256040265199</v>
      </c>
      <c r="K98">
        <v>34</v>
      </c>
      <c r="L98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13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70.99858296109538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29.371181698013853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36.715936903477598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142.34474166510299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4.9607846640384402E-2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325.009989822124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8">
        <f>IF((DiscreteStatsTable[[#This Row],[RepsRequested]]&gt;1),DiscreteStatsTable[[#This Row],[HalfWidth]],DiscreteStatsTable[[#This Row],[BatchMeansHalfWidth]])</f>
        <v>17.74882746547117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13</v>
      </c>
      <c r="Y98">
        <f>IF(DiscreteStatsTable[[#This Row],[RepsRequested]]=DiscreteStatsTable[[#This Row],[RepsWithStatObserved]],1,0)</f>
        <v>1</v>
      </c>
    </row>
    <row r="99" spans="1:25" x14ac:dyDescent="0.25">
      <c r="A99" t="s">
        <v>67</v>
      </c>
      <c r="B99" t="s">
        <v>107</v>
      </c>
      <c r="C99">
        <v>7</v>
      </c>
      <c r="D99" t="s">
        <v>81</v>
      </c>
      <c r="E99" t="s">
        <v>82</v>
      </c>
      <c r="F99" t="s">
        <v>83</v>
      </c>
      <c r="G99">
        <v>68.415413045127195</v>
      </c>
      <c r="H99">
        <v>2E+20</v>
      </c>
      <c r="I99">
        <v>16.833421248526101</v>
      </c>
      <c r="J99">
        <v>110.813924952088</v>
      </c>
      <c r="K99">
        <v>20</v>
      </c>
      <c r="L99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13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70.99858296109538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29.371181698013853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36.715936903477598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142.34474166510299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4.9607846640384402E-2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325.009989822124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99">
        <f>IF((DiscreteStatsTable[[#This Row],[RepsRequested]]&gt;1),DiscreteStatsTable[[#This Row],[HalfWidth]],DiscreteStatsTable[[#This Row],[BatchMeansHalfWidth]])</f>
        <v>17.74882746547117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13</v>
      </c>
      <c r="Y99">
        <f>IF(DiscreteStatsTable[[#This Row],[RepsRequested]]=DiscreteStatsTable[[#This Row],[RepsWithStatObserved]],1,0)</f>
        <v>1</v>
      </c>
    </row>
    <row r="100" spans="1:25" x14ac:dyDescent="0.25">
      <c r="A100" t="s">
        <v>67</v>
      </c>
      <c r="B100" t="s">
        <v>107</v>
      </c>
      <c r="C100">
        <v>8</v>
      </c>
      <c r="D100" t="s">
        <v>81</v>
      </c>
      <c r="E100" t="s">
        <v>82</v>
      </c>
      <c r="F100" t="s">
        <v>83</v>
      </c>
      <c r="G100">
        <v>97.799434999713498</v>
      </c>
      <c r="H100">
        <v>2E+20</v>
      </c>
      <c r="I100">
        <v>3.70210877465707</v>
      </c>
      <c r="J100">
        <v>271.14236604633402</v>
      </c>
      <c r="K100">
        <v>50</v>
      </c>
      <c r="L100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13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70.99858296109538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36.715936903477598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142.34474166510299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4.9607846640384402E-2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325.009989822124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0">
        <f>IF((DiscreteStatsTable[[#This Row],[RepsRequested]]&gt;1),DiscreteStatsTable[[#This Row],[HalfWidth]],DiscreteStatsTable[[#This Row],[BatchMeansHalfWidth]])</f>
        <v>17.74882746547117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13</v>
      </c>
      <c r="Y100">
        <f>IF(DiscreteStatsTable[[#This Row],[RepsRequested]]=DiscreteStatsTable[[#This Row],[RepsWithStatObserved]],1,0)</f>
        <v>1</v>
      </c>
    </row>
    <row r="101" spans="1:25" x14ac:dyDescent="0.25">
      <c r="A101" t="s">
        <v>67</v>
      </c>
      <c r="B101" t="s">
        <v>107</v>
      </c>
      <c r="C101">
        <v>9</v>
      </c>
      <c r="D101" t="s">
        <v>81</v>
      </c>
      <c r="E101" t="s">
        <v>82</v>
      </c>
      <c r="F101" t="s">
        <v>83</v>
      </c>
      <c r="G101">
        <v>36.715936903477598</v>
      </c>
      <c r="H101">
        <v>2E+20</v>
      </c>
      <c r="I101">
        <v>4.4117365936849096</v>
      </c>
      <c r="J101">
        <v>72.968376141887802</v>
      </c>
      <c r="K101">
        <v>10</v>
      </c>
      <c r="L101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13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70.99858296109538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36.715936903477598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142.34474166510299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4.9607846640384402E-2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325.009989822124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1">
        <f>IF((DiscreteStatsTable[[#This Row],[RepsRequested]]&gt;1),DiscreteStatsTable[[#This Row],[HalfWidth]],DiscreteStatsTable[[#This Row],[BatchMeansHalfWidth]])</f>
        <v>17.74882746547117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13</v>
      </c>
      <c r="Y101">
        <f>IF(DiscreteStatsTable[[#This Row],[RepsRequested]]=DiscreteStatsTable[[#This Row],[RepsWithStatObserved]],1,0)</f>
        <v>1</v>
      </c>
    </row>
    <row r="102" spans="1:25" x14ac:dyDescent="0.25">
      <c r="A102" t="s">
        <v>67</v>
      </c>
      <c r="B102" t="s">
        <v>107</v>
      </c>
      <c r="C102">
        <v>10</v>
      </c>
      <c r="D102" t="s">
        <v>81</v>
      </c>
      <c r="E102" t="s">
        <v>82</v>
      </c>
      <c r="F102" t="s">
        <v>83</v>
      </c>
      <c r="G102">
        <v>64.677968261381395</v>
      </c>
      <c r="H102">
        <v>2E+20</v>
      </c>
      <c r="I102">
        <v>0.78423142087939401</v>
      </c>
      <c r="J102">
        <v>148.907762130142</v>
      </c>
      <c r="K102">
        <v>44</v>
      </c>
      <c r="L102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13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70.99858296109538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36.715936903477598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142.34474166510299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4.9607846640384402E-2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325.009989822124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2">
        <f>IF((DiscreteStatsTable[[#This Row],[RepsRequested]]&gt;1),DiscreteStatsTable[[#This Row],[HalfWidth]],DiscreteStatsTable[[#This Row],[BatchMeansHalfWidth]])</f>
        <v>17.74882746547117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13</v>
      </c>
      <c r="Y102">
        <f>IF(DiscreteStatsTable[[#This Row],[RepsRequested]]=DiscreteStatsTable[[#This Row],[RepsWithStatObserved]],1,0)</f>
        <v>1</v>
      </c>
    </row>
    <row r="103" spans="1:25" x14ac:dyDescent="0.25">
      <c r="A103" t="s">
        <v>67</v>
      </c>
      <c r="B103" t="s">
        <v>107</v>
      </c>
      <c r="C103">
        <v>11</v>
      </c>
      <c r="D103" t="s">
        <v>81</v>
      </c>
      <c r="E103" t="s">
        <v>82</v>
      </c>
      <c r="F103" t="s">
        <v>83</v>
      </c>
      <c r="G103">
        <v>43.363288341678697</v>
      </c>
      <c r="H103">
        <v>2E+20</v>
      </c>
      <c r="I103">
        <v>4.9607846640384402E-2</v>
      </c>
      <c r="J103">
        <v>115.545474408378</v>
      </c>
      <c r="K103">
        <v>35</v>
      </c>
      <c r="L103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13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70.99858296109538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36.715936903477598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142.34474166510299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4.9607846640384402E-2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325.009989822124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3">
        <f>IF((DiscreteStatsTable[[#This Row],[RepsRequested]]&gt;1),DiscreteStatsTable[[#This Row],[HalfWidth]],DiscreteStatsTable[[#This Row],[BatchMeansHalfWidth]])</f>
        <v>17.74882746547117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13</v>
      </c>
      <c r="Y103">
        <f>IF(DiscreteStatsTable[[#This Row],[RepsRequested]]=DiscreteStatsTable[[#This Row],[RepsWithStatObserved]],1,0)</f>
        <v>1</v>
      </c>
    </row>
    <row r="104" spans="1:25" x14ac:dyDescent="0.25">
      <c r="A104" t="s">
        <v>67</v>
      </c>
      <c r="B104" t="s">
        <v>107</v>
      </c>
      <c r="C104">
        <v>12</v>
      </c>
      <c r="D104" t="s">
        <v>81</v>
      </c>
      <c r="E104" t="s">
        <v>82</v>
      </c>
      <c r="F104" t="s">
        <v>83</v>
      </c>
      <c r="G104">
        <v>66.654908046474702</v>
      </c>
      <c r="H104">
        <v>2E+20</v>
      </c>
      <c r="I104">
        <v>1.4504101960251901</v>
      </c>
      <c r="J104">
        <v>136.82886932396499</v>
      </c>
      <c r="K104">
        <v>30</v>
      </c>
      <c r="L104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13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70.99858296109538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36.715936903477598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142.34474166510299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4.9607846640384402E-2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325.009989822124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4">
        <f>IF((DiscreteStatsTable[[#This Row],[RepsRequested]]&gt;1),DiscreteStatsTable[[#This Row],[HalfWidth]],DiscreteStatsTable[[#This Row],[BatchMeansHalfWidth]])</f>
        <v>17.74882746547117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13</v>
      </c>
      <c r="Y104">
        <f>IF(DiscreteStatsTable[[#This Row],[RepsRequested]]=DiscreteStatsTable[[#This Row],[RepsWithStatObserved]],1,0)</f>
        <v>1</v>
      </c>
    </row>
    <row r="105" spans="1:25" x14ac:dyDescent="0.25">
      <c r="A105" t="s">
        <v>67</v>
      </c>
      <c r="B105" t="s">
        <v>107</v>
      </c>
      <c r="C105">
        <v>13</v>
      </c>
      <c r="D105" t="s">
        <v>81</v>
      </c>
      <c r="E105" t="s">
        <v>82</v>
      </c>
      <c r="F105" t="s">
        <v>83</v>
      </c>
      <c r="G105">
        <v>78.123690790526197</v>
      </c>
      <c r="H105">
        <v>2E+20</v>
      </c>
      <c r="I105">
        <v>7.6802272152733302</v>
      </c>
      <c r="J105">
        <v>123.626850502785</v>
      </c>
      <c r="K105">
        <v>30</v>
      </c>
      <c r="L105" t="str">
        <f>DiscreteStatsTable[[#This Row],[ProjectName]]&amp;DiscreteStatsTable[[#This Row],[Name]]&amp;DiscreteStatsTable[[#This Row],[Type]]&amp;DiscreteStatsTable[[#This Row],[Source]]</f>
        <v>Unnamed ProjectSistemaExpressionUser Specified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13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70.99858296109538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29.371181698013853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17.74882746547117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36.715936903477598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142.34474166510299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4.9607846640384402E-2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325.009989822124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31.76923076923077</v>
      </c>
      <c r="W105">
        <f>IF((DiscreteStatsTable[[#This Row],[RepsRequested]]&gt;1),DiscreteStatsTable[[#This Row],[HalfWidth]],DiscreteStatsTable[[#This Row],[BatchMeansHalfWidth]])</f>
        <v>17.74882746547117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13</v>
      </c>
      <c r="Y105">
        <f>IF(DiscreteStatsTable[[#This Row],[RepsRequested]]=DiscreteStatsTable[[#This Row],[RepsWithStatObserved]],1,0)</f>
        <v>1</v>
      </c>
    </row>
    <row r="106" spans="1:25" x14ac:dyDescent="0.25">
      <c r="A106" t="s">
        <v>67</v>
      </c>
      <c r="B106" t="s">
        <v>107</v>
      </c>
      <c r="C106">
        <v>1</v>
      </c>
      <c r="D106" t="s">
        <v>84</v>
      </c>
      <c r="E106" t="s">
        <v>71</v>
      </c>
      <c r="F106" t="s">
        <v>72</v>
      </c>
      <c r="G106">
        <v>19.976945009484101</v>
      </c>
      <c r="H106">
        <v>2E+20</v>
      </c>
      <c r="I106">
        <v>0</v>
      </c>
      <c r="J106">
        <v>52.832465266572598</v>
      </c>
      <c r="K106">
        <v>16</v>
      </c>
      <c r="L106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13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20.938243011628575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9.2839536736063586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7.0086507898075601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41.443052993527601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108.07779702901701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06">
        <f>IF((DiscreteStatsTable[[#This Row],[RepsRequested]]&gt;1),DiscreteStatsTable[[#This Row],[HalfWidth]],DiscreteStatsTable[[#This Row],[BatchMeansHalfWidth]])</f>
        <v>5.610237056325496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13</v>
      </c>
      <c r="Y106">
        <f>IF(DiscreteStatsTable[[#This Row],[RepsRequested]]=DiscreteStatsTable[[#This Row],[RepsWithStatObserved]],1,0)</f>
        <v>1</v>
      </c>
    </row>
    <row r="107" spans="1:25" x14ac:dyDescent="0.25">
      <c r="A107" t="s">
        <v>67</v>
      </c>
      <c r="B107" t="s">
        <v>107</v>
      </c>
      <c r="C107">
        <v>2</v>
      </c>
      <c r="D107" t="s">
        <v>84</v>
      </c>
      <c r="E107" t="s">
        <v>71</v>
      </c>
      <c r="F107" t="s">
        <v>72</v>
      </c>
      <c r="G107">
        <v>14.712290903970599</v>
      </c>
      <c r="H107">
        <v>2E+20</v>
      </c>
      <c r="I107">
        <v>0</v>
      </c>
      <c r="J107">
        <v>37.392624383805902</v>
      </c>
      <c r="K107">
        <v>13</v>
      </c>
      <c r="L107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13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20.938243011628575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9.2839536736063586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7.0086507898075601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41.443052993527601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108.07779702901701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07">
        <f>IF((DiscreteStatsTable[[#This Row],[RepsRequested]]&gt;1),DiscreteStatsTable[[#This Row],[HalfWidth]],DiscreteStatsTable[[#This Row],[BatchMeansHalfWidth]])</f>
        <v>5.610237056325496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13</v>
      </c>
      <c r="Y107">
        <f>IF(DiscreteStatsTable[[#This Row],[RepsRequested]]=DiscreteStatsTable[[#This Row],[RepsWithStatObserved]],1,0)</f>
        <v>1</v>
      </c>
    </row>
    <row r="108" spans="1:25" x14ac:dyDescent="0.25">
      <c r="A108" t="s">
        <v>67</v>
      </c>
      <c r="B108" t="s">
        <v>107</v>
      </c>
      <c r="C108">
        <v>3</v>
      </c>
      <c r="D108" t="s">
        <v>84</v>
      </c>
      <c r="E108" t="s">
        <v>71</v>
      </c>
      <c r="F108" t="s">
        <v>72</v>
      </c>
      <c r="G108">
        <v>41.443052993527601</v>
      </c>
      <c r="H108">
        <v>2E+20</v>
      </c>
      <c r="I108">
        <v>0</v>
      </c>
      <c r="J108">
        <v>108.07779702901701</v>
      </c>
      <c r="K108">
        <v>16</v>
      </c>
      <c r="L108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13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20.938243011628575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9.2839536736063586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7.0086507898075601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41.443052993527601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108.07779702901701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08">
        <f>IF((DiscreteStatsTable[[#This Row],[RepsRequested]]&gt;1),DiscreteStatsTable[[#This Row],[HalfWidth]],DiscreteStatsTable[[#This Row],[BatchMeansHalfWidth]])</f>
        <v>5.610237056325496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13</v>
      </c>
      <c r="Y108">
        <f>IF(DiscreteStatsTable[[#This Row],[RepsRequested]]=DiscreteStatsTable[[#This Row],[RepsWithStatObserved]],1,0)</f>
        <v>1</v>
      </c>
    </row>
    <row r="109" spans="1:25" x14ac:dyDescent="0.25">
      <c r="A109" t="s">
        <v>67</v>
      </c>
      <c r="B109" t="s">
        <v>107</v>
      </c>
      <c r="C109">
        <v>4</v>
      </c>
      <c r="D109" t="s">
        <v>84</v>
      </c>
      <c r="E109" t="s">
        <v>71</v>
      </c>
      <c r="F109" t="s">
        <v>72</v>
      </c>
      <c r="G109">
        <v>21.015850969663099</v>
      </c>
      <c r="H109">
        <v>2E+20</v>
      </c>
      <c r="I109">
        <v>0</v>
      </c>
      <c r="J109">
        <v>40.470393368348503</v>
      </c>
      <c r="K109">
        <v>4</v>
      </c>
      <c r="L109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13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20.938243011628575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9.2839536736063586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7.0086507898075601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41.443052993527601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108.07779702901701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09">
        <f>IF((DiscreteStatsTable[[#This Row],[RepsRequested]]&gt;1),DiscreteStatsTable[[#This Row],[HalfWidth]],DiscreteStatsTable[[#This Row],[BatchMeansHalfWidth]])</f>
        <v>5.610237056325496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13</v>
      </c>
      <c r="Y109">
        <f>IF(DiscreteStatsTable[[#This Row],[RepsRequested]]=DiscreteStatsTable[[#This Row],[RepsWithStatObserved]],1,0)</f>
        <v>1</v>
      </c>
    </row>
    <row r="110" spans="1:25" x14ac:dyDescent="0.25">
      <c r="A110" t="s">
        <v>67</v>
      </c>
      <c r="B110" t="s">
        <v>107</v>
      </c>
      <c r="C110">
        <v>5</v>
      </c>
      <c r="D110" t="s">
        <v>84</v>
      </c>
      <c r="E110" t="s">
        <v>71</v>
      </c>
      <c r="F110" t="s">
        <v>72</v>
      </c>
      <c r="G110">
        <v>23.830786508655699</v>
      </c>
      <c r="H110">
        <v>2E+20</v>
      </c>
      <c r="I110">
        <v>0</v>
      </c>
      <c r="J110">
        <v>46.398160358009797</v>
      </c>
      <c r="K110">
        <v>5</v>
      </c>
      <c r="L110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13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20.938243011628575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7.0086507898075601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41.443052993527601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108.07779702901701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0" s="5">
        <f>IF((DiscreteStatsTable[[#This Row],[RepsRequested]]&gt;1),DiscreteStatsTable[[#This Row],[HalfWidth]],DiscreteStatsTable[[#This Row],[BatchMeansHalfWidth]])</f>
        <v>5.610237056325496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13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67</v>
      </c>
      <c r="B111" t="s">
        <v>107</v>
      </c>
      <c r="C111">
        <v>6</v>
      </c>
      <c r="D111" t="s">
        <v>84</v>
      </c>
      <c r="E111" t="s">
        <v>71</v>
      </c>
      <c r="F111" t="s">
        <v>72</v>
      </c>
      <c r="G111">
        <v>7.0086507898075601</v>
      </c>
      <c r="H111">
        <v>2E+20</v>
      </c>
      <c r="I111">
        <v>0</v>
      </c>
      <c r="J111">
        <v>23.8190577279737</v>
      </c>
      <c r="K111">
        <v>10</v>
      </c>
      <c r="L111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13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20.938243011628575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7.0086507898075601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41.443052993527601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108.07779702901701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1" s="5">
        <f>IF((DiscreteStatsTable[[#This Row],[RepsRequested]]&gt;1),DiscreteStatsTable[[#This Row],[HalfWidth]],DiscreteStatsTable[[#This Row],[BatchMeansHalfWidth]])</f>
        <v>5.610237056325496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13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67</v>
      </c>
      <c r="B112" t="s">
        <v>107</v>
      </c>
      <c r="C112">
        <v>7</v>
      </c>
      <c r="D112" t="s">
        <v>84</v>
      </c>
      <c r="E112" t="s">
        <v>71</v>
      </c>
      <c r="F112" t="s">
        <v>72</v>
      </c>
      <c r="G112">
        <v>15.4386609280513</v>
      </c>
      <c r="H112">
        <v>2E+20</v>
      </c>
      <c r="I112">
        <v>0</v>
      </c>
      <c r="J112">
        <v>40.464967079967799</v>
      </c>
      <c r="K112">
        <v>6</v>
      </c>
      <c r="L112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13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20.938243011628575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7.0086507898075601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41.443052993527601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108.07779702901701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2" s="5">
        <f>IF((DiscreteStatsTable[[#This Row],[RepsRequested]]&gt;1),DiscreteStatsTable[[#This Row],[HalfWidth]],DiscreteStatsTable[[#This Row],[BatchMeansHalfWidth]])</f>
        <v>5.610237056325496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13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67</v>
      </c>
      <c r="B113" t="s">
        <v>107</v>
      </c>
      <c r="C113">
        <v>8</v>
      </c>
      <c r="D113" t="s">
        <v>84</v>
      </c>
      <c r="E113" t="s">
        <v>71</v>
      </c>
      <c r="F113" t="s">
        <v>72</v>
      </c>
      <c r="G113">
        <v>17.966914174012</v>
      </c>
      <c r="H113">
        <v>2E+20</v>
      </c>
      <c r="I113">
        <v>0</v>
      </c>
      <c r="J113">
        <v>50.698954747612099</v>
      </c>
      <c r="K113">
        <v>12</v>
      </c>
      <c r="L113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13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20.938243011628575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7.0086507898075601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41.443052993527601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108.07779702901701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3" s="5">
        <f>IF((DiscreteStatsTable[[#This Row],[RepsRequested]]&gt;1),DiscreteStatsTable[[#This Row],[HalfWidth]],DiscreteStatsTable[[#This Row],[BatchMeansHalfWidth]])</f>
        <v>5.610237056325496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13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67</v>
      </c>
      <c r="B114" t="s">
        <v>107</v>
      </c>
      <c r="C114">
        <v>9</v>
      </c>
      <c r="D114" t="s">
        <v>84</v>
      </c>
      <c r="E114" t="s">
        <v>71</v>
      </c>
      <c r="F114" t="s">
        <v>72</v>
      </c>
      <c r="G114">
        <v>18.0221016819401</v>
      </c>
      <c r="H114">
        <v>2E+20</v>
      </c>
      <c r="I114">
        <v>0</v>
      </c>
      <c r="J114">
        <v>37.603195226766999</v>
      </c>
      <c r="K114">
        <v>4</v>
      </c>
      <c r="L114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13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20.938243011628575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7.0086507898075601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41.443052993527601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108.07779702901701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4" s="5">
        <f>IF((DiscreteStatsTable[[#This Row],[RepsRequested]]&gt;1),DiscreteStatsTable[[#This Row],[HalfWidth]],DiscreteStatsTable[[#This Row],[BatchMeansHalfWidth]])</f>
        <v>5.610237056325496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13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67</v>
      </c>
      <c r="B115" t="s">
        <v>107</v>
      </c>
      <c r="C115">
        <v>10</v>
      </c>
      <c r="D115" t="s">
        <v>84</v>
      </c>
      <c r="E115" t="s">
        <v>71</v>
      </c>
      <c r="F115" t="s">
        <v>72</v>
      </c>
      <c r="G115">
        <v>29.422255910908699</v>
      </c>
      <c r="H115">
        <v>2E+20</v>
      </c>
      <c r="I115">
        <v>0</v>
      </c>
      <c r="J115">
        <v>81.437864762712493</v>
      </c>
      <c r="K115">
        <v>22</v>
      </c>
      <c r="L115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13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20.938243011628575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7.0086507898075601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41.443052993527601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108.07779702901701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5" s="5">
        <f>IF((DiscreteStatsTable[[#This Row],[RepsRequested]]&gt;1),DiscreteStatsTable[[#This Row],[HalfWidth]],DiscreteStatsTable[[#This Row],[BatchMeansHalfWidth]])</f>
        <v>5.610237056325496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13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67</v>
      </c>
      <c r="B116" t="s">
        <v>107</v>
      </c>
      <c r="C116">
        <v>11</v>
      </c>
      <c r="D116" t="s">
        <v>84</v>
      </c>
      <c r="E116" t="s">
        <v>71</v>
      </c>
      <c r="F116" t="s">
        <v>72</v>
      </c>
      <c r="G116">
        <v>31.188874326319102</v>
      </c>
      <c r="H116">
        <v>2E+20</v>
      </c>
      <c r="I116">
        <v>0</v>
      </c>
      <c r="J116">
        <v>83.065632174606407</v>
      </c>
      <c r="K116">
        <v>16</v>
      </c>
      <c r="L116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13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20.938243011628575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7.0086507898075601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41.443052993527601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108.07779702901701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6" s="5">
        <f>IF((DiscreteStatsTable[[#This Row],[RepsRequested]]&gt;1),DiscreteStatsTable[[#This Row],[HalfWidth]],DiscreteStatsTable[[#This Row],[BatchMeansHalfWidth]])</f>
        <v>5.610237056325496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13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67</v>
      </c>
      <c r="B117" t="s">
        <v>107</v>
      </c>
      <c r="C117">
        <v>12</v>
      </c>
      <c r="D117" t="s">
        <v>84</v>
      </c>
      <c r="E117" t="s">
        <v>71</v>
      </c>
      <c r="F117" t="s">
        <v>72</v>
      </c>
      <c r="G117">
        <v>9.0132956997242495</v>
      </c>
      <c r="H117">
        <v>2E+20</v>
      </c>
      <c r="I117">
        <v>0</v>
      </c>
      <c r="J117">
        <v>23.4215653222304</v>
      </c>
      <c r="K117">
        <v>7</v>
      </c>
      <c r="L117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13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20.938243011628575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7.0086507898075601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41.443052993527601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108.07779702901701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7" s="5">
        <f>IF((DiscreteStatsTable[[#This Row],[RepsRequested]]&gt;1),DiscreteStatsTable[[#This Row],[HalfWidth]],DiscreteStatsTable[[#This Row],[BatchMeansHalfWidth]])</f>
        <v>5.610237056325496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13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67</v>
      </c>
      <c r="B118" t="s">
        <v>107</v>
      </c>
      <c r="C118">
        <v>13</v>
      </c>
      <c r="D118" t="s">
        <v>84</v>
      </c>
      <c r="E118" t="s">
        <v>71</v>
      </c>
      <c r="F118" t="s">
        <v>72</v>
      </c>
      <c r="G118">
        <v>23.1574792551074</v>
      </c>
      <c r="H118">
        <v>2E+20</v>
      </c>
      <c r="I118">
        <v>0</v>
      </c>
      <c r="J118">
        <v>51.843282034445103</v>
      </c>
      <c r="K118">
        <v>14</v>
      </c>
      <c r="L118" s="5" t="str">
        <f>DiscreteStatsTable[[#This Row],[ProjectName]]&amp;DiscreteStatsTable[[#This Row],[Name]]&amp;DiscreteStatsTable[[#This Row],[Type]]&amp;DiscreteStatsTable[[#This Row],[Source]]</f>
        <v>Unnamed ProjectTaladro.QueueWaiting TimeQueue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13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20.938243011628575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9.2839536736063586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5.610237056325496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7.0086507898075601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41.443052993527601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108.07779702901701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11.153846153846153</v>
      </c>
      <c r="W118" s="5">
        <f>IF((DiscreteStatsTable[[#This Row],[RepsRequested]]&gt;1),DiscreteStatsTable[[#This Row],[HalfWidth]],DiscreteStatsTable[[#This Row],[BatchMeansHalfWidth]])</f>
        <v>5.610237056325496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13</v>
      </c>
      <c r="Y118" s="5">
        <f>IF(DiscreteStatsTable[[#This Row],[RepsRequested]]=DiscreteStatsTable[[#This Row],[RepsWithStatObserved]],1,0)</f>
        <v>1</v>
      </c>
    </row>
  </sheetData>
  <phoneticPr fontId="2" type="noConversion"/>
  <conditionalFormatting sqref="H2:H118 Q2:Q118">
    <cfRule type="expression" dxfId="20" priority="23">
      <formula>H2=200000000000000000000</formula>
    </cfRule>
  </conditionalFormatting>
  <conditionalFormatting sqref="H2:H118">
    <cfRule type="expression" dxfId="19" priority="21">
      <formula>H2=300000000000000000000</formula>
    </cfRule>
  </conditionalFormatting>
  <conditionalFormatting sqref="L2:Y118">
    <cfRule type="expression" dxfId="18" priority="19">
      <formula>MOD(ROW(),2)=0</formula>
    </cfRule>
  </conditionalFormatting>
  <conditionalFormatting sqref="Y2:Y118">
    <cfRule type="expression" dxfId="17" priority="14">
      <formula>Y2=0</formula>
    </cfRule>
    <cfRule type="expression" dxfId="16" priority="16">
      <formula>Y2=1</formula>
    </cfRule>
  </conditionalFormatting>
  <conditionalFormatting sqref="Y3:Y118">
    <cfRule type="expression" dxfId="15" priority="15">
      <formula>Y3=1</formula>
    </cfRule>
  </conditionalFormatting>
  <conditionalFormatting sqref="W2:W118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18 W2:W118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31"/>
  <sheetViews>
    <sheetView workbookViewId="0">
      <selection activeCell="A2" sqref="A2:L1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16.42578125" bestFit="1" customWidth="1"/>
    <col min="5" max="5" width="23.5703125" bestFit="1" customWidth="1"/>
    <col min="6" max="6" width="13.8554687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9.570312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67</v>
      </c>
      <c r="B2" t="s">
        <v>107</v>
      </c>
      <c r="C2">
        <v>1</v>
      </c>
      <c r="D2" t="s">
        <v>70</v>
      </c>
      <c r="E2" t="s">
        <v>85</v>
      </c>
      <c r="F2" t="s">
        <v>72</v>
      </c>
      <c r="G2">
        <v>6.9795384532070104</v>
      </c>
      <c r="H2">
        <v>2E+20</v>
      </c>
      <c r="I2">
        <v>0</v>
      </c>
      <c r="J2">
        <v>21</v>
      </c>
      <c r="K2">
        <v>2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13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0.215794703892706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14.2341958459241</v>
      </c>
      <c r="U2">
        <f>IF((ContinuousStatsTable[[#This Row],[RepsRequested]]&gt;1),ContinuousStatsTable[[#This Row],[HalfWidth]],ContinuousStatsTable[[#This Row],[BatchMeansHalfWidth]])</f>
        <v>2.4606143009614683</v>
      </c>
    </row>
    <row r="3" spans="1:21" x14ac:dyDescent="0.25">
      <c r="A3" t="s">
        <v>67</v>
      </c>
      <c r="B3" t="s">
        <v>107</v>
      </c>
      <c r="C3">
        <v>1</v>
      </c>
      <c r="D3" t="s">
        <v>73</v>
      </c>
      <c r="E3" t="s">
        <v>86</v>
      </c>
      <c r="F3" t="s">
        <v>75</v>
      </c>
      <c r="G3">
        <v>9.6117907255726696</v>
      </c>
      <c r="H3">
        <v>2E+20</v>
      </c>
      <c r="I3">
        <v>0</v>
      </c>
      <c r="J3">
        <v>26</v>
      </c>
      <c r="K3">
        <v>5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13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0.76491535215578299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17.793092708137898</v>
      </c>
      <c r="U3">
        <f>IF((ContinuousStatsTable[[#This Row],[RepsRequested]]&gt;1),ContinuousStatsTable[[#This Row],[HalfWidth]],ContinuousStatsTable[[#This Row],[BatchMeansHalfWidth]])</f>
        <v>2.9731441000168419</v>
      </c>
    </row>
    <row r="4" spans="1:21" x14ac:dyDescent="0.25">
      <c r="A4" t="s">
        <v>67</v>
      </c>
      <c r="B4" t="s">
        <v>107</v>
      </c>
      <c r="C4">
        <v>1</v>
      </c>
      <c r="D4" t="s">
        <v>84</v>
      </c>
      <c r="E4" t="s">
        <v>85</v>
      </c>
      <c r="F4" t="s">
        <v>72</v>
      </c>
      <c r="G4">
        <v>0.66589816698280302</v>
      </c>
      <c r="H4">
        <v>2E+20</v>
      </c>
      <c r="I4">
        <v>0</v>
      </c>
      <c r="J4">
        <v>4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13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0.131443895620979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1.4695242868288101</v>
      </c>
      <c r="U4">
        <f>IF((ContinuousStatsTable[[#This Row],[RepsRequested]]&gt;1),ContinuousStatsTable[[#This Row],[HalfWidth]],ContinuousStatsTable[[#This Row],[BatchMeansHalfWidth]])</f>
        <v>0.29482375421631829</v>
      </c>
    </row>
    <row r="5" spans="1:21" x14ac:dyDescent="0.25">
      <c r="A5" t="s">
        <v>67</v>
      </c>
      <c r="B5" t="s">
        <v>107</v>
      </c>
      <c r="C5">
        <v>1</v>
      </c>
      <c r="D5" t="s">
        <v>87</v>
      </c>
      <c r="E5" t="s">
        <v>88</v>
      </c>
      <c r="F5" t="s">
        <v>83</v>
      </c>
      <c r="G5">
        <v>9.6117907255726696</v>
      </c>
      <c r="H5">
        <v>2E+20</v>
      </c>
      <c r="I5">
        <v>0</v>
      </c>
      <c r="J5">
        <v>26</v>
      </c>
      <c r="K5">
        <v>5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13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0.76491535215578299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17.793092708137898</v>
      </c>
      <c r="U5">
        <f>IF((ContinuousStatsTable[[#This Row],[RepsRequested]]&gt;1),ContinuousStatsTable[[#This Row],[HalfWidth]],ContinuousStatsTable[[#This Row],[BatchMeansHalfWidth]])</f>
        <v>2.9731441000168419</v>
      </c>
    </row>
    <row r="6" spans="1:21" x14ac:dyDescent="0.25">
      <c r="A6" t="s">
        <v>67</v>
      </c>
      <c r="B6" t="s">
        <v>107</v>
      </c>
      <c r="C6">
        <v>1</v>
      </c>
      <c r="D6" t="s">
        <v>89</v>
      </c>
      <c r="E6" t="s">
        <v>90</v>
      </c>
      <c r="F6" t="s">
        <v>91</v>
      </c>
      <c r="G6">
        <v>0.78540458648547895</v>
      </c>
      <c r="H6">
        <v>2E+20</v>
      </c>
      <c r="I6">
        <v>0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13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0.146598355861076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0.91769977116840795</v>
      </c>
      <c r="U6">
        <f>IF((ContinuousStatsTable[[#This Row],[RepsRequested]]&gt;1),ContinuousStatsTable[[#This Row],[HalfWidth]],ContinuousStatsTable[[#This Row],[BatchMeansHalfWidth]])</f>
        <v>0.1575511007238469</v>
      </c>
    </row>
    <row r="7" spans="1:21" x14ac:dyDescent="0.25">
      <c r="A7" t="s">
        <v>67</v>
      </c>
      <c r="B7" t="s">
        <v>107</v>
      </c>
      <c r="C7">
        <v>1</v>
      </c>
      <c r="D7" t="s">
        <v>89</v>
      </c>
      <c r="E7" t="s">
        <v>92</v>
      </c>
      <c r="F7" t="s">
        <v>91</v>
      </c>
      <c r="G7">
        <v>1.5708091729709599</v>
      </c>
      <c r="H7">
        <v>2E+20</v>
      </c>
      <c r="I7">
        <v>0</v>
      </c>
      <c r="J7">
        <v>2</v>
      </c>
      <c r="K7">
        <v>2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13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0.293196711722152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1.8353995423368199</v>
      </c>
      <c r="U7">
        <f>IF((ContinuousStatsTable[[#This Row],[RepsRequested]]&gt;1),ContinuousStatsTable[[#This Row],[HalfWidth]],ContinuousStatsTable[[#This Row],[BatchMeansHalfWidth]])</f>
        <v>0.31510220144769419</v>
      </c>
    </row>
    <row r="8" spans="1:21" x14ac:dyDescent="0.25">
      <c r="A8" t="s">
        <v>67</v>
      </c>
      <c r="B8" t="s">
        <v>107</v>
      </c>
      <c r="C8">
        <v>1</v>
      </c>
      <c r="D8" t="s">
        <v>89</v>
      </c>
      <c r="E8" t="s">
        <v>93</v>
      </c>
      <c r="F8" t="s">
        <v>91</v>
      </c>
      <c r="G8">
        <v>2</v>
      </c>
      <c r="H8">
        <v>2E+20</v>
      </c>
      <c r="I8">
        <v>2</v>
      </c>
      <c r="J8">
        <v>2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13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5">
      <c r="A9" t="s">
        <v>67</v>
      </c>
      <c r="B9" t="s">
        <v>107</v>
      </c>
      <c r="C9">
        <v>1</v>
      </c>
      <c r="D9" t="s">
        <v>94</v>
      </c>
      <c r="E9" t="s">
        <v>90</v>
      </c>
      <c r="F9" t="s">
        <v>91</v>
      </c>
      <c r="G9">
        <v>0.39554493241189598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13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0.105150492315538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0.53316656156980802</v>
      </c>
      <c r="U9">
        <f>IF((ContinuousStatsTable[[#This Row],[RepsRequested]]&gt;1),ContinuousStatsTable[[#This Row],[HalfWidth]],ContinuousStatsTable[[#This Row],[BatchMeansHalfWidth]])</f>
        <v>8.4528080832815961E-2</v>
      </c>
    </row>
    <row r="10" spans="1:21" x14ac:dyDescent="0.25">
      <c r="A10" t="s">
        <v>67</v>
      </c>
      <c r="B10" t="s">
        <v>107</v>
      </c>
      <c r="C10">
        <v>1</v>
      </c>
      <c r="D10" t="s">
        <v>94</v>
      </c>
      <c r="E10" t="s">
        <v>92</v>
      </c>
      <c r="F10" t="s">
        <v>91</v>
      </c>
      <c r="G10">
        <v>0.39554493241189598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13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0.105150492315538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0.53316656156980802</v>
      </c>
      <c r="U10">
        <f>IF((ContinuousStatsTable[[#This Row],[RepsRequested]]&gt;1),ContinuousStatsTable[[#This Row],[HalfWidth]],ContinuousStatsTable[[#This Row],[BatchMeansHalfWidth]])</f>
        <v>8.4528080832815961E-2</v>
      </c>
    </row>
    <row r="11" spans="1:21" x14ac:dyDescent="0.25">
      <c r="A11" t="s">
        <v>67</v>
      </c>
      <c r="B11" t="s">
        <v>107</v>
      </c>
      <c r="C11">
        <v>1</v>
      </c>
      <c r="D11" t="s">
        <v>94</v>
      </c>
      <c r="E11" t="s">
        <v>93</v>
      </c>
      <c r="F11" t="s">
        <v>91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13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25">
      <c r="A12" t="s">
        <v>67</v>
      </c>
      <c r="B12" t="s">
        <v>107</v>
      </c>
      <c r="C12">
        <v>2</v>
      </c>
      <c r="D12" t="s">
        <v>70</v>
      </c>
      <c r="E12" t="s">
        <v>85</v>
      </c>
      <c r="F12" t="s">
        <v>72</v>
      </c>
      <c r="G12">
        <v>1.5986924814043899</v>
      </c>
      <c r="H12">
        <v>2E+20</v>
      </c>
      <c r="I12">
        <v>0</v>
      </c>
      <c r="J12">
        <v>6</v>
      </c>
      <c r="K12">
        <v>3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13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0.215794703892706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14.2341958459241</v>
      </c>
      <c r="U12">
        <f>IF((ContinuousStatsTable[[#This Row],[RepsRequested]]&gt;1),ContinuousStatsTable[[#This Row],[HalfWidth]],ContinuousStatsTable[[#This Row],[BatchMeansHalfWidth]])</f>
        <v>2.4606143009614683</v>
      </c>
    </row>
    <row r="13" spans="1:21" x14ac:dyDescent="0.25">
      <c r="A13" t="s">
        <v>67</v>
      </c>
      <c r="B13" t="s">
        <v>107</v>
      </c>
      <c r="C13">
        <v>2</v>
      </c>
      <c r="D13" t="s">
        <v>73</v>
      </c>
      <c r="E13" t="s">
        <v>86</v>
      </c>
      <c r="F13" t="s">
        <v>75</v>
      </c>
      <c r="G13">
        <v>3.4601333473986902</v>
      </c>
      <c r="H13">
        <v>2E+20</v>
      </c>
      <c r="I13">
        <v>0</v>
      </c>
      <c r="J13">
        <v>10</v>
      </c>
      <c r="K13">
        <v>5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13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0.76491535215578299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17.793092708137898</v>
      </c>
      <c r="U13">
        <f>IF((ContinuousStatsTable[[#This Row],[RepsRequested]]&gt;1),ContinuousStatsTable[[#This Row],[HalfWidth]],ContinuousStatsTable[[#This Row],[BatchMeansHalfWidth]])</f>
        <v>2.9731441000168419</v>
      </c>
    </row>
    <row r="14" spans="1:21" x14ac:dyDescent="0.25">
      <c r="A14" t="s">
        <v>67</v>
      </c>
      <c r="B14" t="s">
        <v>107</v>
      </c>
      <c r="C14">
        <v>2</v>
      </c>
      <c r="D14" t="s">
        <v>84</v>
      </c>
      <c r="E14" t="s">
        <v>85</v>
      </c>
      <c r="F14" t="s">
        <v>72</v>
      </c>
      <c r="G14">
        <v>0.39845787864920301</v>
      </c>
      <c r="H14">
        <v>2E+20</v>
      </c>
      <c r="I14">
        <v>0</v>
      </c>
      <c r="J14">
        <v>3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13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0.131443895620979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1.4695242868288101</v>
      </c>
      <c r="U14">
        <f>IF((ContinuousStatsTable[[#This Row],[RepsRequested]]&gt;1),ContinuousStatsTable[[#This Row],[HalfWidth]],ContinuousStatsTable[[#This Row],[BatchMeansHalfWidth]])</f>
        <v>0.29482375421631829</v>
      </c>
    </row>
    <row r="15" spans="1:21" x14ac:dyDescent="0.25">
      <c r="A15" t="s">
        <v>67</v>
      </c>
      <c r="B15" t="s">
        <v>107</v>
      </c>
      <c r="C15">
        <v>2</v>
      </c>
      <c r="D15" t="s">
        <v>87</v>
      </c>
      <c r="E15" t="s">
        <v>88</v>
      </c>
      <c r="F15" t="s">
        <v>83</v>
      </c>
      <c r="G15">
        <v>3.4601333473986902</v>
      </c>
      <c r="H15">
        <v>2E+20</v>
      </c>
      <c r="I15">
        <v>0</v>
      </c>
      <c r="J15">
        <v>10</v>
      </c>
      <c r="K15">
        <v>5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13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0.76491535215578299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17.793092708137898</v>
      </c>
      <c r="U15">
        <f>IF((ContinuousStatsTable[[#This Row],[RepsRequested]]&gt;1),ContinuousStatsTable[[#This Row],[HalfWidth]],ContinuousStatsTable[[#This Row],[BatchMeansHalfWidth]])</f>
        <v>2.9731441000168419</v>
      </c>
    </row>
    <row r="16" spans="1:21" x14ac:dyDescent="0.25">
      <c r="A16" t="s">
        <v>67</v>
      </c>
      <c r="B16" t="s">
        <v>107</v>
      </c>
      <c r="C16">
        <v>2</v>
      </c>
      <c r="D16" t="s">
        <v>89</v>
      </c>
      <c r="E16" t="s">
        <v>90</v>
      </c>
      <c r="F16" t="s">
        <v>91</v>
      </c>
      <c r="G16">
        <v>0.56306843005182206</v>
      </c>
      <c r="H16">
        <v>2E+20</v>
      </c>
      <c r="I16">
        <v>0</v>
      </c>
      <c r="J16">
        <v>1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13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0.146598355861076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0.91769977116840795</v>
      </c>
      <c r="U16">
        <f>IF((ContinuousStatsTable[[#This Row],[RepsRequested]]&gt;1),ContinuousStatsTable[[#This Row],[HalfWidth]],ContinuousStatsTable[[#This Row],[BatchMeansHalfWidth]])</f>
        <v>0.1575511007238469</v>
      </c>
    </row>
    <row r="17" spans="1:21" x14ac:dyDescent="0.25">
      <c r="A17" t="s">
        <v>67</v>
      </c>
      <c r="B17" t="s">
        <v>107</v>
      </c>
      <c r="C17">
        <v>2</v>
      </c>
      <c r="D17" t="s">
        <v>89</v>
      </c>
      <c r="E17" t="s">
        <v>92</v>
      </c>
      <c r="F17" t="s">
        <v>91</v>
      </c>
      <c r="G17">
        <v>1.1261368601036399</v>
      </c>
      <c r="H17">
        <v>2E+20</v>
      </c>
      <c r="I17">
        <v>0</v>
      </c>
      <c r="J17">
        <v>2</v>
      </c>
      <c r="K17">
        <v>2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13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0.293196711722152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1.8353995423368199</v>
      </c>
      <c r="U17">
        <f>IF((ContinuousStatsTable[[#This Row],[RepsRequested]]&gt;1),ContinuousStatsTable[[#This Row],[HalfWidth]],ContinuousStatsTable[[#This Row],[BatchMeansHalfWidth]])</f>
        <v>0.31510220144769419</v>
      </c>
    </row>
    <row r="18" spans="1:21" x14ac:dyDescent="0.25">
      <c r="A18" t="s">
        <v>67</v>
      </c>
      <c r="B18" t="s">
        <v>107</v>
      </c>
      <c r="C18">
        <v>2</v>
      </c>
      <c r="D18" t="s">
        <v>89</v>
      </c>
      <c r="E18" t="s">
        <v>93</v>
      </c>
      <c r="F18" t="s">
        <v>91</v>
      </c>
      <c r="G18">
        <v>2</v>
      </c>
      <c r="H18">
        <v>2E+20</v>
      </c>
      <c r="I18">
        <v>2</v>
      </c>
      <c r="J18">
        <v>2</v>
      </c>
      <c r="K18">
        <v>2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13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2</v>
      </c>
      <c r="U18">
        <f>IF((ContinuousStatsTable[[#This Row],[RepsRequested]]&gt;1),ContinuousStatsTable[[#This Row],[HalfWidth]],ContinuousStatsTable[[#This Row],[BatchMeansHalfWidth]])</f>
        <v>0</v>
      </c>
    </row>
    <row r="19" spans="1:21" x14ac:dyDescent="0.25">
      <c r="A19" t="s">
        <v>67</v>
      </c>
      <c r="B19" t="s">
        <v>107</v>
      </c>
      <c r="C19">
        <v>2</v>
      </c>
      <c r="D19" t="s">
        <v>94</v>
      </c>
      <c r="E19" t="s">
        <v>90</v>
      </c>
      <c r="F19" t="s">
        <v>91</v>
      </c>
      <c r="G19">
        <v>0.33684612724144403</v>
      </c>
      <c r="H19">
        <v>2E+20</v>
      </c>
      <c r="I19">
        <v>0</v>
      </c>
      <c r="J19">
        <v>1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13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0.105150492315538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0.53316656156980802</v>
      </c>
      <c r="U19">
        <f>IF((ContinuousStatsTable[[#This Row],[RepsRequested]]&gt;1),ContinuousStatsTable[[#This Row],[HalfWidth]],ContinuousStatsTable[[#This Row],[BatchMeansHalfWidth]])</f>
        <v>8.4528080832815961E-2</v>
      </c>
    </row>
    <row r="20" spans="1:21" x14ac:dyDescent="0.25">
      <c r="A20" t="s">
        <v>67</v>
      </c>
      <c r="B20" t="s">
        <v>107</v>
      </c>
      <c r="C20">
        <v>2</v>
      </c>
      <c r="D20" t="s">
        <v>94</v>
      </c>
      <c r="E20" t="s">
        <v>92</v>
      </c>
      <c r="F20" t="s">
        <v>91</v>
      </c>
      <c r="G20">
        <v>0.33684612724144403</v>
      </c>
      <c r="H20">
        <v>2E+20</v>
      </c>
      <c r="I20">
        <v>0</v>
      </c>
      <c r="J20">
        <v>1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13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0.105150492315538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0.53316656156980802</v>
      </c>
      <c r="U20">
        <f>IF((ContinuousStatsTable[[#This Row],[RepsRequested]]&gt;1),ContinuousStatsTable[[#This Row],[HalfWidth]],ContinuousStatsTable[[#This Row],[BatchMeansHalfWidth]])</f>
        <v>8.4528080832815961E-2</v>
      </c>
    </row>
    <row r="21" spans="1:21" x14ac:dyDescent="0.25">
      <c r="A21" t="s">
        <v>67</v>
      </c>
      <c r="B21" t="s">
        <v>107</v>
      </c>
      <c r="C21">
        <v>2</v>
      </c>
      <c r="D21" t="s">
        <v>94</v>
      </c>
      <c r="E21" t="s">
        <v>93</v>
      </c>
      <c r="F21" t="s">
        <v>91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13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25">
      <c r="A22" t="s">
        <v>67</v>
      </c>
      <c r="B22" t="s">
        <v>107</v>
      </c>
      <c r="C22">
        <v>3</v>
      </c>
      <c r="D22" t="s">
        <v>70</v>
      </c>
      <c r="E22" t="s">
        <v>85</v>
      </c>
      <c r="F22" t="s">
        <v>72</v>
      </c>
      <c r="G22">
        <v>14.2341958459241</v>
      </c>
      <c r="H22">
        <v>2E+20</v>
      </c>
      <c r="I22">
        <v>0</v>
      </c>
      <c r="J22">
        <v>28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13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0.215794703892706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14.2341958459241</v>
      </c>
      <c r="U22">
        <f>IF((ContinuousStatsTable[[#This Row],[RepsRequested]]&gt;1),ContinuousStatsTable[[#This Row],[HalfWidth]],ContinuousStatsTable[[#This Row],[BatchMeansHalfWidth]])</f>
        <v>2.4606143009614683</v>
      </c>
    </row>
    <row r="23" spans="1:21" x14ac:dyDescent="0.25">
      <c r="A23" t="s">
        <v>67</v>
      </c>
      <c r="B23" t="s">
        <v>107</v>
      </c>
      <c r="C23">
        <v>3</v>
      </c>
      <c r="D23" t="s">
        <v>73</v>
      </c>
      <c r="E23" t="s">
        <v>86</v>
      </c>
      <c r="F23" t="s">
        <v>75</v>
      </c>
      <c r="G23">
        <v>17.793092708137898</v>
      </c>
      <c r="H23">
        <v>2E+20</v>
      </c>
      <c r="I23">
        <v>0</v>
      </c>
      <c r="J23">
        <v>39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13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0.76491535215578299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17.793092708137898</v>
      </c>
      <c r="U23">
        <f>IF((ContinuousStatsTable[[#This Row],[RepsRequested]]&gt;1),ContinuousStatsTable[[#This Row],[HalfWidth]],ContinuousStatsTable[[#This Row],[BatchMeansHalfWidth]])</f>
        <v>2.9731441000168419</v>
      </c>
    </row>
    <row r="24" spans="1:21" x14ac:dyDescent="0.25">
      <c r="A24" t="s">
        <v>67</v>
      </c>
      <c r="B24" t="s">
        <v>107</v>
      </c>
      <c r="C24">
        <v>3</v>
      </c>
      <c r="D24" t="s">
        <v>84</v>
      </c>
      <c r="E24" t="s">
        <v>85</v>
      </c>
      <c r="F24" t="s">
        <v>72</v>
      </c>
      <c r="G24">
        <v>1.3814350997842499</v>
      </c>
      <c r="H24">
        <v>2E+20</v>
      </c>
      <c r="I24">
        <v>0</v>
      </c>
      <c r="J24">
        <v>9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13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0.131443895620979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1.4695242868288101</v>
      </c>
      <c r="U24">
        <f>IF((ContinuousStatsTable[[#This Row],[RepsRequested]]&gt;1),ContinuousStatsTable[[#This Row],[HalfWidth]],ContinuousStatsTable[[#This Row],[BatchMeansHalfWidth]])</f>
        <v>0.29482375421631829</v>
      </c>
    </row>
    <row r="25" spans="1:21" x14ac:dyDescent="0.25">
      <c r="A25" t="s">
        <v>67</v>
      </c>
      <c r="B25" t="s">
        <v>107</v>
      </c>
      <c r="C25">
        <v>3</v>
      </c>
      <c r="D25" t="s">
        <v>87</v>
      </c>
      <c r="E25" t="s">
        <v>88</v>
      </c>
      <c r="F25" t="s">
        <v>83</v>
      </c>
      <c r="G25">
        <v>17.793092708137898</v>
      </c>
      <c r="H25">
        <v>2E+20</v>
      </c>
      <c r="I25">
        <v>0</v>
      </c>
      <c r="J25">
        <v>39</v>
      </c>
      <c r="K25">
        <v>0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13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0.76491535215578299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17.793092708137898</v>
      </c>
      <c r="U25">
        <f>IF((ContinuousStatsTable[[#This Row],[RepsRequested]]&gt;1),ContinuousStatsTable[[#This Row],[HalfWidth]],ContinuousStatsTable[[#This Row],[BatchMeansHalfWidth]])</f>
        <v>2.9731441000168419</v>
      </c>
    </row>
    <row r="26" spans="1:21" x14ac:dyDescent="0.25">
      <c r="A26" t="s">
        <v>67</v>
      </c>
      <c r="B26" t="s">
        <v>107</v>
      </c>
      <c r="C26">
        <v>3</v>
      </c>
      <c r="D26" t="s">
        <v>89</v>
      </c>
      <c r="E26" t="s">
        <v>90</v>
      </c>
      <c r="F26" t="s">
        <v>91</v>
      </c>
      <c r="G26">
        <v>0.87909786633303799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13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0.146598355861076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0.91769977116840795</v>
      </c>
      <c r="U26">
        <f>IF((ContinuousStatsTable[[#This Row],[RepsRequested]]&gt;1),ContinuousStatsTable[[#This Row],[HalfWidth]],ContinuousStatsTable[[#This Row],[BatchMeansHalfWidth]])</f>
        <v>0.1575511007238469</v>
      </c>
    </row>
    <row r="27" spans="1:21" x14ac:dyDescent="0.25">
      <c r="A27" t="s">
        <v>67</v>
      </c>
      <c r="B27" t="s">
        <v>107</v>
      </c>
      <c r="C27">
        <v>3</v>
      </c>
      <c r="D27" t="s">
        <v>89</v>
      </c>
      <c r="E27" t="s">
        <v>92</v>
      </c>
      <c r="F27" t="s">
        <v>91</v>
      </c>
      <c r="G27">
        <v>1.75819573266608</v>
      </c>
      <c r="H27">
        <v>2E+20</v>
      </c>
      <c r="I27">
        <v>0</v>
      </c>
      <c r="J27">
        <v>2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13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0.293196711722152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1.8353995423368199</v>
      </c>
      <c r="U27">
        <f>IF((ContinuousStatsTable[[#This Row],[RepsRequested]]&gt;1),ContinuousStatsTable[[#This Row],[HalfWidth]],ContinuousStatsTable[[#This Row],[BatchMeansHalfWidth]])</f>
        <v>0.31510220144769419</v>
      </c>
    </row>
    <row r="28" spans="1:21" x14ac:dyDescent="0.25">
      <c r="A28" t="s">
        <v>67</v>
      </c>
      <c r="B28" t="s">
        <v>107</v>
      </c>
      <c r="C28">
        <v>3</v>
      </c>
      <c r="D28" t="s">
        <v>89</v>
      </c>
      <c r="E28" t="s">
        <v>93</v>
      </c>
      <c r="F28" t="s">
        <v>91</v>
      </c>
      <c r="G28">
        <v>2</v>
      </c>
      <c r="H28">
        <v>2E+20</v>
      </c>
      <c r="I28">
        <v>2</v>
      </c>
      <c r="J28">
        <v>2</v>
      </c>
      <c r="K28">
        <v>2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13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2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2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2</v>
      </c>
      <c r="U28">
        <f>IF((ContinuousStatsTable[[#This Row],[RepsRequested]]&gt;1),ContinuousStatsTable[[#This Row],[HalfWidth]],ContinuousStatsTable[[#This Row],[BatchMeansHalfWidth]])</f>
        <v>0</v>
      </c>
    </row>
    <row r="29" spans="1:21" x14ac:dyDescent="0.25">
      <c r="A29" t="s">
        <v>67</v>
      </c>
      <c r="B29" t="s">
        <v>107</v>
      </c>
      <c r="C29">
        <v>3</v>
      </c>
      <c r="D29" t="s">
        <v>94</v>
      </c>
      <c r="E29" t="s">
        <v>90</v>
      </c>
      <c r="F29" t="s">
        <v>91</v>
      </c>
      <c r="G29">
        <v>0.419266029763466</v>
      </c>
      <c r="H29">
        <v>2E+20</v>
      </c>
      <c r="I29">
        <v>0</v>
      </c>
      <c r="J29">
        <v>1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13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0.105150492315538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0.53316656156980802</v>
      </c>
      <c r="U29">
        <f>IF((ContinuousStatsTable[[#This Row],[RepsRequested]]&gt;1),ContinuousStatsTable[[#This Row],[HalfWidth]],ContinuousStatsTable[[#This Row],[BatchMeansHalfWidth]])</f>
        <v>8.4528080832815961E-2</v>
      </c>
    </row>
    <row r="30" spans="1:21" x14ac:dyDescent="0.25">
      <c r="A30" t="s">
        <v>67</v>
      </c>
      <c r="B30" t="s">
        <v>107</v>
      </c>
      <c r="C30">
        <v>3</v>
      </c>
      <c r="D30" t="s">
        <v>94</v>
      </c>
      <c r="E30" t="s">
        <v>92</v>
      </c>
      <c r="F30" t="s">
        <v>91</v>
      </c>
      <c r="G30">
        <v>0.419266029763466</v>
      </c>
      <c r="H30">
        <v>2E+20</v>
      </c>
      <c r="I30">
        <v>0</v>
      </c>
      <c r="J30">
        <v>1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13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0.105150492315538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0.53316656156980802</v>
      </c>
      <c r="U30">
        <f>IF((ContinuousStatsTable[[#This Row],[RepsRequested]]&gt;1),ContinuousStatsTable[[#This Row],[HalfWidth]],ContinuousStatsTable[[#This Row],[BatchMeansHalfWidth]])</f>
        <v>8.4528080832815961E-2</v>
      </c>
    </row>
    <row r="31" spans="1:21" x14ac:dyDescent="0.25">
      <c r="A31" t="s">
        <v>67</v>
      </c>
      <c r="B31" t="s">
        <v>107</v>
      </c>
      <c r="C31">
        <v>3</v>
      </c>
      <c r="D31" t="s">
        <v>94</v>
      </c>
      <c r="E31" t="s">
        <v>93</v>
      </c>
      <c r="F31" t="s">
        <v>91</v>
      </c>
      <c r="G31">
        <v>1</v>
      </c>
      <c r="H31">
        <v>2E+20</v>
      </c>
      <c r="I31">
        <v>1</v>
      </c>
      <c r="J31">
        <v>1</v>
      </c>
      <c r="K31">
        <v>1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13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</v>
      </c>
      <c r="U31">
        <f>IF((ContinuousStatsTable[[#This Row],[RepsRequested]]&gt;1),ContinuousStatsTable[[#This Row],[HalfWidth]],ContinuousStatsTable[[#This Row],[BatchMeansHalfWidth]])</f>
        <v>0</v>
      </c>
    </row>
    <row r="32" spans="1:21" x14ac:dyDescent="0.25">
      <c r="A32" t="s">
        <v>67</v>
      </c>
      <c r="B32" t="s">
        <v>107</v>
      </c>
      <c r="C32">
        <v>4</v>
      </c>
      <c r="D32" t="s">
        <v>70</v>
      </c>
      <c r="E32" t="s">
        <v>85</v>
      </c>
      <c r="F32" t="s">
        <v>72</v>
      </c>
      <c r="G32">
        <v>0.55913492755268002</v>
      </c>
      <c r="H32">
        <v>2E+20</v>
      </c>
      <c r="I32">
        <v>0</v>
      </c>
      <c r="J32">
        <v>5</v>
      </c>
      <c r="K32">
        <v>0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13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0.215794703892706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14.2341958459241</v>
      </c>
      <c r="U32">
        <f>IF((ContinuousStatsTable[[#This Row],[RepsRequested]]&gt;1),ContinuousStatsTable[[#This Row],[HalfWidth]],ContinuousStatsTable[[#This Row],[BatchMeansHalfWidth]])</f>
        <v>2.4606143009614683</v>
      </c>
    </row>
    <row r="33" spans="1:21" x14ac:dyDescent="0.25">
      <c r="A33" t="s">
        <v>67</v>
      </c>
      <c r="B33" t="s">
        <v>107</v>
      </c>
      <c r="C33">
        <v>4</v>
      </c>
      <c r="D33" t="s">
        <v>73</v>
      </c>
      <c r="E33" t="s">
        <v>86</v>
      </c>
      <c r="F33" t="s">
        <v>75</v>
      </c>
      <c r="G33">
        <v>1.25195701101358</v>
      </c>
      <c r="H33">
        <v>2E+20</v>
      </c>
      <c r="I33">
        <v>0</v>
      </c>
      <c r="J33">
        <v>10</v>
      </c>
      <c r="K33">
        <v>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13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0.76491535215578299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17.793092708137898</v>
      </c>
      <c r="U33">
        <f>IF((ContinuousStatsTable[[#This Row],[RepsRequested]]&gt;1),ContinuousStatsTable[[#This Row],[HalfWidth]],ContinuousStatsTable[[#This Row],[BatchMeansHalfWidth]])</f>
        <v>2.9731441000168419</v>
      </c>
    </row>
    <row r="34" spans="1:21" x14ac:dyDescent="0.25">
      <c r="A34" t="s">
        <v>67</v>
      </c>
      <c r="B34" t="s">
        <v>107</v>
      </c>
      <c r="C34">
        <v>4</v>
      </c>
      <c r="D34" t="s">
        <v>84</v>
      </c>
      <c r="E34" t="s">
        <v>85</v>
      </c>
      <c r="F34" t="s">
        <v>72</v>
      </c>
      <c r="G34">
        <v>0.17513209141385899</v>
      </c>
      <c r="H34">
        <v>2E+20</v>
      </c>
      <c r="I34">
        <v>0</v>
      </c>
      <c r="J34">
        <v>3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13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0.131443895620979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1.4695242868288101</v>
      </c>
      <c r="U34">
        <f>IF((ContinuousStatsTable[[#This Row],[RepsRequested]]&gt;1),ContinuousStatsTable[[#This Row],[HalfWidth]],ContinuousStatsTable[[#This Row],[BatchMeansHalfWidth]])</f>
        <v>0.29482375421631829</v>
      </c>
    </row>
    <row r="35" spans="1:21" x14ac:dyDescent="0.25">
      <c r="A35" t="s">
        <v>67</v>
      </c>
      <c r="B35" t="s">
        <v>107</v>
      </c>
      <c r="C35">
        <v>4</v>
      </c>
      <c r="D35" t="s">
        <v>87</v>
      </c>
      <c r="E35" t="s">
        <v>88</v>
      </c>
      <c r="F35" t="s">
        <v>83</v>
      </c>
      <c r="G35">
        <v>1.25195701101358</v>
      </c>
      <c r="H35">
        <v>2E+20</v>
      </c>
      <c r="I35">
        <v>0</v>
      </c>
      <c r="J35">
        <v>10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13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0.76491535215578299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17.793092708137898</v>
      </c>
      <c r="U35">
        <f>IF((ContinuousStatsTable[[#This Row],[RepsRequested]]&gt;1),ContinuousStatsTable[[#This Row],[HalfWidth]],ContinuousStatsTable[[#This Row],[BatchMeansHalfWidth]])</f>
        <v>2.9731441000168419</v>
      </c>
    </row>
    <row r="36" spans="1:21" x14ac:dyDescent="0.25">
      <c r="A36" t="s">
        <v>67</v>
      </c>
      <c r="B36" t="s">
        <v>107</v>
      </c>
      <c r="C36">
        <v>4</v>
      </c>
      <c r="D36" t="s">
        <v>89</v>
      </c>
      <c r="E36" t="s">
        <v>90</v>
      </c>
      <c r="F36" t="s">
        <v>91</v>
      </c>
      <c r="G36">
        <v>0.20626974986575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13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0.146598355861076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0.91769977116840795</v>
      </c>
      <c r="U36">
        <f>IF((ContinuousStatsTable[[#This Row],[RepsRequested]]&gt;1),ContinuousStatsTable[[#This Row],[HalfWidth]],ContinuousStatsTable[[#This Row],[BatchMeansHalfWidth]])</f>
        <v>0.1575511007238469</v>
      </c>
    </row>
    <row r="37" spans="1:21" x14ac:dyDescent="0.25">
      <c r="A37" t="s">
        <v>67</v>
      </c>
      <c r="B37" t="s">
        <v>107</v>
      </c>
      <c r="C37">
        <v>4</v>
      </c>
      <c r="D37" t="s">
        <v>89</v>
      </c>
      <c r="E37" t="s">
        <v>92</v>
      </c>
      <c r="F37" t="s">
        <v>91</v>
      </c>
      <c r="G37">
        <v>0.4125394997315</v>
      </c>
      <c r="H37">
        <v>2E+20</v>
      </c>
      <c r="I37">
        <v>0</v>
      </c>
      <c r="J37">
        <v>2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13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0.293196711722152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1.8353995423368199</v>
      </c>
      <c r="U37">
        <f>IF((ContinuousStatsTable[[#This Row],[RepsRequested]]&gt;1),ContinuousStatsTable[[#This Row],[HalfWidth]],ContinuousStatsTable[[#This Row],[BatchMeansHalfWidth]])</f>
        <v>0.31510220144769419</v>
      </c>
    </row>
    <row r="38" spans="1:21" x14ac:dyDescent="0.25">
      <c r="A38" t="s">
        <v>67</v>
      </c>
      <c r="B38" t="s">
        <v>107</v>
      </c>
      <c r="C38">
        <v>4</v>
      </c>
      <c r="D38" t="s">
        <v>89</v>
      </c>
      <c r="E38" t="s">
        <v>93</v>
      </c>
      <c r="F38" t="s">
        <v>91</v>
      </c>
      <c r="G38">
        <v>2</v>
      </c>
      <c r="H38">
        <v>2E+20</v>
      </c>
      <c r="I38">
        <v>2</v>
      </c>
      <c r="J38">
        <v>2</v>
      </c>
      <c r="K38">
        <v>2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13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2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2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2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25">
      <c r="A39" t="s">
        <v>67</v>
      </c>
      <c r="B39" t="s">
        <v>107</v>
      </c>
      <c r="C39">
        <v>4</v>
      </c>
      <c r="D39" t="s">
        <v>94</v>
      </c>
      <c r="E39" t="s">
        <v>90</v>
      </c>
      <c r="F39" t="s">
        <v>91</v>
      </c>
      <c r="G39">
        <v>0.105150492315538</v>
      </c>
      <c r="H39">
        <v>2E+20</v>
      </c>
      <c r="I39">
        <v>0</v>
      </c>
      <c r="J39">
        <v>1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13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0.105150492315538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0.53316656156980802</v>
      </c>
      <c r="U39">
        <f>IF((ContinuousStatsTable[[#This Row],[RepsRequested]]&gt;1),ContinuousStatsTable[[#This Row],[HalfWidth]],ContinuousStatsTable[[#This Row],[BatchMeansHalfWidth]])</f>
        <v>8.4528080832815961E-2</v>
      </c>
    </row>
    <row r="40" spans="1:21" x14ac:dyDescent="0.25">
      <c r="A40" t="s">
        <v>67</v>
      </c>
      <c r="B40" t="s">
        <v>107</v>
      </c>
      <c r="C40">
        <v>4</v>
      </c>
      <c r="D40" t="s">
        <v>94</v>
      </c>
      <c r="E40" t="s">
        <v>92</v>
      </c>
      <c r="F40" t="s">
        <v>91</v>
      </c>
      <c r="G40">
        <v>0.105150492315538</v>
      </c>
      <c r="H40">
        <v>2E+20</v>
      </c>
      <c r="I40">
        <v>0</v>
      </c>
      <c r="J40">
        <v>1</v>
      </c>
      <c r="K40">
        <v>0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13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0.105150492315538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0.53316656156980802</v>
      </c>
      <c r="U40">
        <f>IF((ContinuousStatsTable[[#This Row],[RepsRequested]]&gt;1),ContinuousStatsTable[[#This Row],[HalfWidth]],ContinuousStatsTable[[#This Row],[BatchMeansHalfWidth]])</f>
        <v>8.4528080832815961E-2</v>
      </c>
    </row>
    <row r="41" spans="1:21" x14ac:dyDescent="0.25">
      <c r="A41" t="s">
        <v>67</v>
      </c>
      <c r="B41" t="s">
        <v>107</v>
      </c>
      <c r="C41">
        <v>4</v>
      </c>
      <c r="D41" t="s">
        <v>94</v>
      </c>
      <c r="E41" t="s">
        <v>93</v>
      </c>
      <c r="F41" t="s">
        <v>91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13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>
        <f>IF((ContinuousStatsTable[[#This Row],[RepsRequested]]&gt;1),ContinuousStatsTable[[#This Row],[HalfWidth]],ContinuousStatsTable[[#This Row],[BatchMeansHalfWidth]])</f>
        <v>0</v>
      </c>
    </row>
    <row r="42" spans="1:21" x14ac:dyDescent="0.25">
      <c r="A42" t="s">
        <v>67</v>
      </c>
      <c r="B42" t="s">
        <v>107</v>
      </c>
      <c r="C42">
        <v>5</v>
      </c>
      <c r="D42" t="s">
        <v>70</v>
      </c>
      <c r="E42" t="s">
        <v>85</v>
      </c>
      <c r="F42" t="s">
        <v>72</v>
      </c>
      <c r="G42">
        <v>0.31227659963729298</v>
      </c>
      <c r="H42">
        <v>2E+20</v>
      </c>
      <c r="I42">
        <v>0</v>
      </c>
      <c r="J42">
        <v>4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13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0.215794703892706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14.2341958459241</v>
      </c>
      <c r="U42">
        <f>IF((ContinuousStatsTable[[#This Row],[RepsRequested]]&gt;1),ContinuousStatsTable[[#This Row],[HalfWidth]],ContinuousStatsTable[[#This Row],[BatchMeansHalfWidth]])</f>
        <v>2.4606143009614683</v>
      </c>
    </row>
    <row r="43" spans="1:21" x14ac:dyDescent="0.25">
      <c r="A43" t="s">
        <v>67</v>
      </c>
      <c r="B43" t="s">
        <v>107</v>
      </c>
      <c r="C43">
        <v>5</v>
      </c>
      <c r="D43" t="s">
        <v>73</v>
      </c>
      <c r="E43" t="s">
        <v>86</v>
      </c>
      <c r="F43" t="s">
        <v>75</v>
      </c>
      <c r="G43">
        <v>1.0207720869941199</v>
      </c>
      <c r="H43">
        <v>2E+20</v>
      </c>
      <c r="I43">
        <v>0</v>
      </c>
      <c r="J43">
        <v>10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13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0.76491535215578299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17.793092708137898</v>
      </c>
      <c r="U43">
        <f>IF((ContinuousStatsTable[[#This Row],[RepsRequested]]&gt;1),ContinuousStatsTable[[#This Row],[HalfWidth]],ContinuousStatsTable[[#This Row],[BatchMeansHalfWidth]])</f>
        <v>2.9731441000168419</v>
      </c>
    </row>
    <row r="44" spans="1:21" x14ac:dyDescent="0.25">
      <c r="A44" t="s">
        <v>67</v>
      </c>
      <c r="B44" t="s">
        <v>107</v>
      </c>
      <c r="C44">
        <v>5</v>
      </c>
      <c r="D44" t="s">
        <v>84</v>
      </c>
      <c r="E44" t="s">
        <v>85</v>
      </c>
      <c r="F44" t="s">
        <v>72</v>
      </c>
      <c r="G44">
        <v>0.24823735946516401</v>
      </c>
      <c r="H44">
        <v>2E+20</v>
      </c>
      <c r="I44">
        <v>0</v>
      </c>
      <c r="J44">
        <v>4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13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0.131443895620979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1.4695242868288101</v>
      </c>
      <c r="U44">
        <f>IF((ContinuousStatsTable[[#This Row],[RepsRequested]]&gt;1),ContinuousStatsTable[[#This Row],[HalfWidth]],ContinuousStatsTable[[#This Row],[BatchMeansHalfWidth]])</f>
        <v>0.29482375421631829</v>
      </c>
    </row>
    <row r="45" spans="1:21" x14ac:dyDescent="0.25">
      <c r="A45" t="s">
        <v>67</v>
      </c>
      <c r="B45" t="s">
        <v>107</v>
      </c>
      <c r="C45">
        <v>5</v>
      </c>
      <c r="D45" t="s">
        <v>87</v>
      </c>
      <c r="E45" t="s">
        <v>88</v>
      </c>
      <c r="F45" t="s">
        <v>83</v>
      </c>
      <c r="G45">
        <v>1.0207720869941199</v>
      </c>
      <c r="H45">
        <v>2E+20</v>
      </c>
      <c r="I45">
        <v>0</v>
      </c>
      <c r="J45">
        <v>10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13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0.76491535215578299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17.793092708137898</v>
      </c>
      <c r="U45">
        <f>IF((ContinuousStatsTable[[#This Row],[RepsRequested]]&gt;1),ContinuousStatsTable[[#This Row],[HalfWidth]],ContinuousStatsTable[[#This Row],[BatchMeansHalfWidth]])</f>
        <v>2.9731441000168419</v>
      </c>
    </row>
    <row r="46" spans="1:21" x14ac:dyDescent="0.25">
      <c r="A46" t="s">
        <v>67</v>
      </c>
      <c r="B46" t="s">
        <v>107</v>
      </c>
      <c r="C46">
        <v>5</v>
      </c>
      <c r="D46" t="s">
        <v>89</v>
      </c>
      <c r="E46" t="s">
        <v>90</v>
      </c>
      <c r="F46" t="s">
        <v>91</v>
      </c>
      <c r="G46">
        <v>0.16923556352618799</v>
      </c>
      <c r="H46">
        <v>2E+20</v>
      </c>
      <c r="I46">
        <v>0</v>
      </c>
      <c r="J46">
        <v>1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13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0.146598355861076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0.91769977116840795</v>
      </c>
      <c r="U46">
        <f>IF((ContinuousStatsTable[[#This Row],[RepsRequested]]&gt;1),ContinuousStatsTable[[#This Row],[HalfWidth]],ContinuousStatsTable[[#This Row],[BatchMeansHalfWidth]])</f>
        <v>0.1575511007238469</v>
      </c>
    </row>
    <row r="47" spans="1:21" x14ac:dyDescent="0.25">
      <c r="A47" t="s">
        <v>67</v>
      </c>
      <c r="B47" t="s">
        <v>107</v>
      </c>
      <c r="C47">
        <v>5</v>
      </c>
      <c r="D47" t="s">
        <v>89</v>
      </c>
      <c r="E47" t="s">
        <v>92</v>
      </c>
      <c r="F47" t="s">
        <v>91</v>
      </c>
      <c r="G47">
        <v>0.33847112705237498</v>
      </c>
      <c r="H47">
        <v>2E+20</v>
      </c>
      <c r="I47">
        <v>0</v>
      </c>
      <c r="J47">
        <v>2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13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0.293196711722152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1.8353995423368199</v>
      </c>
      <c r="U47">
        <f>IF((ContinuousStatsTable[[#This Row],[RepsRequested]]&gt;1),ContinuousStatsTable[[#This Row],[HalfWidth]],ContinuousStatsTable[[#This Row],[BatchMeansHalfWidth]])</f>
        <v>0.31510220144769419</v>
      </c>
    </row>
    <row r="48" spans="1:21" x14ac:dyDescent="0.25">
      <c r="A48" t="s">
        <v>67</v>
      </c>
      <c r="B48" t="s">
        <v>107</v>
      </c>
      <c r="C48">
        <v>5</v>
      </c>
      <c r="D48" t="s">
        <v>89</v>
      </c>
      <c r="E48" t="s">
        <v>93</v>
      </c>
      <c r="F48" t="s">
        <v>91</v>
      </c>
      <c r="G48">
        <v>2</v>
      </c>
      <c r="H48">
        <v>2E+20</v>
      </c>
      <c r="I48">
        <v>2</v>
      </c>
      <c r="J48">
        <v>2</v>
      </c>
      <c r="K48">
        <v>2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13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2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2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2</v>
      </c>
      <c r="U48">
        <f>IF((ContinuousStatsTable[[#This Row],[RepsRequested]]&gt;1),ContinuousStatsTable[[#This Row],[HalfWidth]],ContinuousStatsTable[[#This Row],[BatchMeansHalfWidth]])</f>
        <v>0</v>
      </c>
    </row>
    <row r="49" spans="1:21" x14ac:dyDescent="0.25">
      <c r="A49" t="s">
        <v>67</v>
      </c>
      <c r="B49" t="s">
        <v>107</v>
      </c>
      <c r="C49">
        <v>5</v>
      </c>
      <c r="D49" t="s">
        <v>94</v>
      </c>
      <c r="E49" t="s">
        <v>90</v>
      </c>
      <c r="F49" t="s">
        <v>91</v>
      </c>
      <c r="G49">
        <v>0.121787000839284</v>
      </c>
      <c r="H49">
        <v>2E+20</v>
      </c>
      <c r="I49">
        <v>0</v>
      </c>
      <c r="J49">
        <v>1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13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0.105150492315538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0.53316656156980802</v>
      </c>
      <c r="U49">
        <f>IF((ContinuousStatsTable[[#This Row],[RepsRequested]]&gt;1),ContinuousStatsTable[[#This Row],[HalfWidth]],ContinuousStatsTable[[#This Row],[BatchMeansHalfWidth]])</f>
        <v>8.4528080832815961E-2</v>
      </c>
    </row>
    <row r="50" spans="1:21" x14ac:dyDescent="0.25">
      <c r="A50" t="s">
        <v>67</v>
      </c>
      <c r="B50" t="s">
        <v>107</v>
      </c>
      <c r="C50">
        <v>5</v>
      </c>
      <c r="D50" t="s">
        <v>94</v>
      </c>
      <c r="E50" t="s">
        <v>92</v>
      </c>
      <c r="F50" t="s">
        <v>91</v>
      </c>
      <c r="G50">
        <v>0.121787000839284</v>
      </c>
      <c r="H50">
        <v>2E+20</v>
      </c>
      <c r="I50">
        <v>0</v>
      </c>
      <c r="J50">
        <v>1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13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0.105150492315538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0.53316656156980802</v>
      </c>
      <c r="U50">
        <f>IF((ContinuousStatsTable[[#This Row],[RepsRequested]]&gt;1),ContinuousStatsTable[[#This Row],[HalfWidth]],ContinuousStatsTable[[#This Row],[BatchMeansHalfWidth]])</f>
        <v>8.4528080832815961E-2</v>
      </c>
    </row>
    <row r="51" spans="1:21" x14ac:dyDescent="0.25">
      <c r="A51" t="s">
        <v>67</v>
      </c>
      <c r="B51" t="s">
        <v>107</v>
      </c>
      <c r="C51">
        <v>5</v>
      </c>
      <c r="D51" t="s">
        <v>94</v>
      </c>
      <c r="E51" t="s">
        <v>93</v>
      </c>
      <c r="F51" t="s">
        <v>91</v>
      </c>
      <c r="G51">
        <v>1</v>
      </c>
      <c r="H51">
        <v>2E+20</v>
      </c>
      <c r="I51">
        <v>1</v>
      </c>
      <c r="J51">
        <v>1</v>
      </c>
      <c r="K51">
        <v>1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13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1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1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1</v>
      </c>
      <c r="U51">
        <f>IF((ContinuousStatsTable[[#This Row],[RepsRequested]]&gt;1),ContinuousStatsTable[[#This Row],[HalfWidth]],ContinuousStatsTable[[#This Row],[BatchMeansHalfWidth]])</f>
        <v>0</v>
      </c>
    </row>
    <row r="52" spans="1:21" x14ac:dyDescent="0.25">
      <c r="A52" t="s">
        <v>67</v>
      </c>
      <c r="B52" t="s">
        <v>107</v>
      </c>
      <c r="C52">
        <v>6</v>
      </c>
      <c r="D52" t="s">
        <v>70</v>
      </c>
      <c r="E52" t="s">
        <v>85</v>
      </c>
      <c r="F52" t="s">
        <v>72</v>
      </c>
      <c r="G52">
        <v>5.6587841463609703</v>
      </c>
      <c r="H52">
        <v>2E+20</v>
      </c>
      <c r="I52">
        <v>0</v>
      </c>
      <c r="J52">
        <v>17</v>
      </c>
      <c r="K52">
        <v>12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13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0.215794703892706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14.2341958459241</v>
      </c>
      <c r="U52">
        <f>IF((ContinuousStatsTable[[#This Row],[RepsRequested]]&gt;1),ContinuousStatsTable[[#This Row],[HalfWidth]],ContinuousStatsTable[[#This Row],[BatchMeansHalfWidth]])</f>
        <v>2.4606143009614683</v>
      </c>
    </row>
    <row r="53" spans="1:21" x14ac:dyDescent="0.25">
      <c r="A53" t="s">
        <v>67</v>
      </c>
      <c r="B53" t="s">
        <v>107</v>
      </c>
      <c r="C53">
        <v>6</v>
      </c>
      <c r="D53" t="s">
        <v>73</v>
      </c>
      <c r="E53" t="s">
        <v>86</v>
      </c>
      <c r="F53" t="s">
        <v>75</v>
      </c>
      <c r="G53">
        <v>7.5017184439679303</v>
      </c>
      <c r="H53">
        <v>2E+20</v>
      </c>
      <c r="I53">
        <v>0</v>
      </c>
      <c r="J53">
        <v>20</v>
      </c>
      <c r="K53">
        <v>16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13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0.76491535215578299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17.793092708137898</v>
      </c>
      <c r="U53">
        <f>IF((ContinuousStatsTable[[#This Row],[RepsRequested]]&gt;1),ContinuousStatsTable[[#This Row],[HalfWidth]],ContinuousStatsTable[[#This Row],[BatchMeansHalfWidth]])</f>
        <v>2.9731441000168419</v>
      </c>
    </row>
    <row r="54" spans="1:21" x14ac:dyDescent="0.25">
      <c r="A54" t="s">
        <v>67</v>
      </c>
      <c r="B54" t="s">
        <v>107</v>
      </c>
      <c r="C54">
        <v>6</v>
      </c>
      <c r="D54" t="s">
        <v>84</v>
      </c>
      <c r="E54" t="s">
        <v>85</v>
      </c>
      <c r="F54" t="s">
        <v>72</v>
      </c>
      <c r="G54">
        <v>0.17373684299685899</v>
      </c>
      <c r="H54">
        <v>2E+20</v>
      </c>
      <c r="I54">
        <v>0</v>
      </c>
      <c r="J54">
        <v>2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13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0.131443895620979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1.4695242868288101</v>
      </c>
      <c r="U54">
        <f>IF((ContinuousStatsTable[[#This Row],[RepsRequested]]&gt;1),ContinuousStatsTable[[#This Row],[HalfWidth]],ContinuousStatsTable[[#This Row],[BatchMeansHalfWidth]])</f>
        <v>0.29482375421631829</v>
      </c>
    </row>
    <row r="55" spans="1:21" x14ac:dyDescent="0.25">
      <c r="A55" t="s">
        <v>67</v>
      </c>
      <c r="B55" t="s">
        <v>107</v>
      </c>
      <c r="C55">
        <v>6</v>
      </c>
      <c r="D55" t="s">
        <v>87</v>
      </c>
      <c r="E55" t="s">
        <v>88</v>
      </c>
      <c r="F55" t="s">
        <v>83</v>
      </c>
      <c r="G55">
        <v>7.5017184439679303</v>
      </c>
      <c r="H55">
        <v>2E+20</v>
      </c>
      <c r="I55">
        <v>0</v>
      </c>
      <c r="J55">
        <v>20</v>
      </c>
      <c r="K55">
        <v>16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13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0.76491535215578299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17.793092708137898</v>
      </c>
      <c r="U55">
        <f>IF((ContinuousStatsTable[[#This Row],[RepsRequested]]&gt;1),ContinuousStatsTable[[#This Row],[HalfWidth]],ContinuousStatsTable[[#This Row],[BatchMeansHalfWidth]])</f>
        <v>2.9731441000168419</v>
      </c>
    </row>
    <row r="56" spans="1:21" x14ac:dyDescent="0.25">
      <c r="A56" t="s">
        <v>67</v>
      </c>
      <c r="B56" t="s">
        <v>107</v>
      </c>
      <c r="C56">
        <v>6</v>
      </c>
      <c r="D56" t="s">
        <v>89</v>
      </c>
      <c r="E56" t="s">
        <v>90</v>
      </c>
      <c r="F56" t="s">
        <v>91</v>
      </c>
      <c r="G56">
        <v>0.721319861491027</v>
      </c>
      <c r="H56">
        <v>2E+20</v>
      </c>
      <c r="I56">
        <v>0</v>
      </c>
      <c r="J56">
        <v>1</v>
      </c>
      <c r="K56">
        <v>1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13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0.146598355861076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0.91769977116840795</v>
      </c>
      <c r="U56">
        <f>IF((ContinuousStatsTable[[#This Row],[RepsRequested]]&gt;1),ContinuousStatsTable[[#This Row],[HalfWidth]],ContinuousStatsTable[[#This Row],[BatchMeansHalfWidth]])</f>
        <v>0.1575511007238469</v>
      </c>
    </row>
    <row r="57" spans="1:21" x14ac:dyDescent="0.25">
      <c r="A57" t="s">
        <v>67</v>
      </c>
      <c r="B57" t="s">
        <v>107</v>
      </c>
      <c r="C57">
        <v>6</v>
      </c>
      <c r="D57" t="s">
        <v>89</v>
      </c>
      <c r="E57" t="s">
        <v>92</v>
      </c>
      <c r="F57" t="s">
        <v>91</v>
      </c>
      <c r="G57">
        <v>1.44263972298205</v>
      </c>
      <c r="H57">
        <v>2E+20</v>
      </c>
      <c r="I57">
        <v>0</v>
      </c>
      <c r="J57">
        <v>2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13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0.293196711722152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1.8353995423368199</v>
      </c>
      <c r="U57">
        <f>IF((ContinuousStatsTable[[#This Row],[RepsRequested]]&gt;1),ContinuousStatsTable[[#This Row],[HalfWidth]],ContinuousStatsTable[[#This Row],[BatchMeansHalfWidth]])</f>
        <v>0.31510220144769419</v>
      </c>
    </row>
    <row r="58" spans="1:21" x14ac:dyDescent="0.25">
      <c r="A58" t="s">
        <v>67</v>
      </c>
      <c r="B58" t="s">
        <v>107</v>
      </c>
      <c r="C58">
        <v>6</v>
      </c>
      <c r="D58" t="s">
        <v>89</v>
      </c>
      <c r="E58" t="s">
        <v>93</v>
      </c>
      <c r="F58" t="s">
        <v>91</v>
      </c>
      <c r="G58">
        <v>2</v>
      </c>
      <c r="H58">
        <v>2E+20</v>
      </c>
      <c r="I58">
        <v>2</v>
      </c>
      <c r="J58">
        <v>2</v>
      </c>
      <c r="K58">
        <v>2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13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2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0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2</v>
      </c>
      <c r="U58">
        <f>IF((ContinuousStatsTable[[#This Row],[RepsRequested]]&gt;1),ContinuousStatsTable[[#This Row],[HalfWidth]],ContinuousStatsTable[[#This Row],[BatchMeansHalfWidth]])</f>
        <v>0</v>
      </c>
    </row>
    <row r="59" spans="1:21" x14ac:dyDescent="0.25">
      <c r="A59" t="s">
        <v>67</v>
      </c>
      <c r="B59" t="s">
        <v>107</v>
      </c>
      <c r="C59">
        <v>6</v>
      </c>
      <c r="D59" t="s">
        <v>94</v>
      </c>
      <c r="E59" t="s">
        <v>90</v>
      </c>
      <c r="F59" t="s">
        <v>91</v>
      </c>
      <c r="G59">
        <v>0.22655773162805501</v>
      </c>
      <c r="H59">
        <v>2E+20</v>
      </c>
      <c r="I59">
        <v>0</v>
      </c>
      <c r="J59">
        <v>1</v>
      </c>
      <c r="K59">
        <v>1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13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0.105150492315538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0.53316656156980802</v>
      </c>
      <c r="U59">
        <f>IF((ContinuousStatsTable[[#This Row],[RepsRequested]]&gt;1),ContinuousStatsTable[[#This Row],[HalfWidth]],ContinuousStatsTable[[#This Row],[BatchMeansHalfWidth]])</f>
        <v>8.4528080832815961E-2</v>
      </c>
    </row>
    <row r="60" spans="1:21" x14ac:dyDescent="0.25">
      <c r="A60" t="s">
        <v>67</v>
      </c>
      <c r="B60" t="s">
        <v>107</v>
      </c>
      <c r="C60">
        <v>6</v>
      </c>
      <c r="D60" t="s">
        <v>94</v>
      </c>
      <c r="E60" t="s">
        <v>92</v>
      </c>
      <c r="F60" t="s">
        <v>91</v>
      </c>
      <c r="G60">
        <v>0.22655773162805501</v>
      </c>
      <c r="H60">
        <v>2E+20</v>
      </c>
      <c r="I60">
        <v>0</v>
      </c>
      <c r="J60">
        <v>1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13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0.105150492315538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0.53316656156980802</v>
      </c>
      <c r="U60">
        <f>IF((ContinuousStatsTable[[#This Row],[RepsRequested]]&gt;1),ContinuousStatsTable[[#This Row],[HalfWidth]],ContinuousStatsTable[[#This Row],[BatchMeansHalfWidth]])</f>
        <v>8.4528080832815961E-2</v>
      </c>
    </row>
    <row r="61" spans="1:21" x14ac:dyDescent="0.25">
      <c r="A61" t="s">
        <v>67</v>
      </c>
      <c r="B61" t="s">
        <v>107</v>
      </c>
      <c r="C61">
        <v>6</v>
      </c>
      <c r="D61" t="s">
        <v>94</v>
      </c>
      <c r="E61" t="s">
        <v>93</v>
      </c>
      <c r="F61" t="s">
        <v>91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13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25">
      <c r="A62" t="s">
        <v>67</v>
      </c>
      <c r="B62" t="s">
        <v>107</v>
      </c>
      <c r="C62">
        <v>7</v>
      </c>
      <c r="D62" t="s">
        <v>70</v>
      </c>
      <c r="E62" t="s">
        <v>85</v>
      </c>
      <c r="F62" t="s">
        <v>72</v>
      </c>
      <c r="G62">
        <v>1.6324756388762101</v>
      </c>
      <c r="H62">
        <v>2E+20</v>
      </c>
      <c r="I62">
        <v>0</v>
      </c>
      <c r="J62">
        <v>7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13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0.215794703892706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14.2341958459241</v>
      </c>
      <c r="U62">
        <f>IF((ContinuousStatsTable[[#This Row],[RepsRequested]]&gt;1),ContinuousStatsTable[[#This Row],[HalfWidth]],ContinuousStatsTable[[#This Row],[BatchMeansHalfWidth]])</f>
        <v>2.4606143009614683</v>
      </c>
    </row>
    <row r="63" spans="1:21" x14ac:dyDescent="0.25">
      <c r="A63" t="s">
        <v>67</v>
      </c>
      <c r="B63" t="s">
        <v>107</v>
      </c>
      <c r="C63">
        <v>7</v>
      </c>
      <c r="D63" t="s">
        <v>73</v>
      </c>
      <c r="E63" t="s">
        <v>86</v>
      </c>
      <c r="F63" t="s">
        <v>75</v>
      </c>
      <c r="G63">
        <v>2.8506422102136302</v>
      </c>
      <c r="H63">
        <v>2E+20</v>
      </c>
      <c r="I63">
        <v>0</v>
      </c>
      <c r="J63">
        <v>10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13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0.76491535215578299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17.793092708137898</v>
      </c>
      <c r="U63">
        <f>IF((ContinuousStatsTable[[#This Row],[RepsRequested]]&gt;1),ContinuousStatsTable[[#This Row],[HalfWidth]],ContinuousStatsTable[[#This Row],[BatchMeansHalfWidth]])</f>
        <v>2.9731441000168419</v>
      </c>
    </row>
    <row r="64" spans="1:21" x14ac:dyDescent="0.25">
      <c r="A64" t="s">
        <v>67</v>
      </c>
      <c r="B64" t="s">
        <v>107</v>
      </c>
      <c r="C64">
        <v>7</v>
      </c>
      <c r="D64" t="s">
        <v>84</v>
      </c>
      <c r="E64" t="s">
        <v>85</v>
      </c>
      <c r="F64" t="s">
        <v>72</v>
      </c>
      <c r="G64">
        <v>0.192983261600642</v>
      </c>
      <c r="H64">
        <v>2E+20</v>
      </c>
      <c r="I64">
        <v>0</v>
      </c>
      <c r="J64">
        <v>3</v>
      </c>
      <c r="K64">
        <v>0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13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0.131443895620979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1.4695242868288101</v>
      </c>
      <c r="U64">
        <f>IF((ContinuousStatsTable[[#This Row],[RepsRequested]]&gt;1),ContinuousStatsTable[[#This Row],[HalfWidth]],ContinuousStatsTable[[#This Row],[BatchMeansHalfWidth]])</f>
        <v>0.29482375421631829</v>
      </c>
    </row>
    <row r="65" spans="1:21" x14ac:dyDescent="0.25">
      <c r="A65" t="s">
        <v>67</v>
      </c>
      <c r="B65" t="s">
        <v>107</v>
      </c>
      <c r="C65">
        <v>7</v>
      </c>
      <c r="D65" t="s">
        <v>87</v>
      </c>
      <c r="E65" t="s">
        <v>88</v>
      </c>
      <c r="F65" t="s">
        <v>83</v>
      </c>
      <c r="G65">
        <v>2.8506422102136302</v>
      </c>
      <c r="H65">
        <v>2E+20</v>
      </c>
      <c r="I65">
        <v>0</v>
      </c>
      <c r="J65">
        <v>10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13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0.76491535215578299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17.793092708137898</v>
      </c>
      <c r="U65">
        <f>IF((ContinuousStatsTable[[#This Row],[RepsRequested]]&gt;1),ContinuousStatsTable[[#This Row],[HalfWidth]],ContinuousStatsTable[[#This Row],[BatchMeansHalfWidth]])</f>
        <v>2.9731441000168419</v>
      </c>
    </row>
    <row r="66" spans="1:21" x14ac:dyDescent="0.25">
      <c r="A66" t="s">
        <v>67</v>
      </c>
      <c r="B66" t="s">
        <v>107</v>
      </c>
      <c r="C66">
        <v>7</v>
      </c>
      <c r="D66" t="s">
        <v>89</v>
      </c>
      <c r="E66" t="s">
        <v>90</v>
      </c>
      <c r="F66" t="s">
        <v>91</v>
      </c>
      <c r="G66">
        <v>0.42713655672003298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13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0.146598355861076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0.91769977116840795</v>
      </c>
      <c r="U66">
        <f>IF((ContinuousStatsTable[[#This Row],[RepsRequested]]&gt;1),ContinuousStatsTable[[#This Row],[HalfWidth]],ContinuousStatsTable[[#This Row],[BatchMeansHalfWidth]])</f>
        <v>0.1575511007238469</v>
      </c>
    </row>
    <row r="67" spans="1:21" x14ac:dyDescent="0.25">
      <c r="A67" t="s">
        <v>67</v>
      </c>
      <c r="B67" t="s">
        <v>107</v>
      </c>
      <c r="C67">
        <v>7</v>
      </c>
      <c r="D67" t="s">
        <v>89</v>
      </c>
      <c r="E67" t="s">
        <v>92</v>
      </c>
      <c r="F67" t="s">
        <v>91</v>
      </c>
      <c r="G67">
        <v>0.85427311344006596</v>
      </c>
      <c r="H67">
        <v>2E+20</v>
      </c>
      <c r="I67">
        <v>0</v>
      </c>
      <c r="J67">
        <v>2</v>
      </c>
      <c r="K67">
        <v>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13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0.293196711722152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1.8353995423368199</v>
      </c>
      <c r="U67">
        <f>IF((ContinuousStatsTable[[#This Row],[RepsRequested]]&gt;1),ContinuousStatsTable[[#This Row],[HalfWidth]],ContinuousStatsTable[[#This Row],[BatchMeansHalfWidth]])</f>
        <v>0.31510220144769419</v>
      </c>
    </row>
    <row r="68" spans="1:21" x14ac:dyDescent="0.25">
      <c r="A68" t="s">
        <v>67</v>
      </c>
      <c r="B68" t="s">
        <v>107</v>
      </c>
      <c r="C68">
        <v>7</v>
      </c>
      <c r="D68" t="s">
        <v>89</v>
      </c>
      <c r="E68" t="s">
        <v>93</v>
      </c>
      <c r="F68" t="s">
        <v>91</v>
      </c>
      <c r="G68">
        <v>2</v>
      </c>
      <c r="H68">
        <v>2E+20</v>
      </c>
      <c r="I68">
        <v>2</v>
      </c>
      <c r="J68">
        <v>2</v>
      </c>
      <c r="K68">
        <v>2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13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2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2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2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67</v>
      </c>
      <c r="B69" t="s">
        <v>107</v>
      </c>
      <c r="C69">
        <v>7</v>
      </c>
      <c r="D69" t="s">
        <v>94</v>
      </c>
      <c r="E69" t="s">
        <v>90</v>
      </c>
      <c r="F69" t="s">
        <v>91</v>
      </c>
      <c r="G69">
        <v>0.170910196296711</v>
      </c>
      <c r="H69">
        <v>2E+20</v>
      </c>
      <c r="I69">
        <v>0</v>
      </c>
      <c r="J69">
        <v>1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13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0.105150492315538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0.53316656156980802</v>
      </c>
      <c r="U69">
        <f>IF((ContinuousStatsTable[[#This Row],[RepsRequested]]&gt;1),ContinuousStatsTable[[#This Row],[HalfWidth]],ContinuousStatsTable[[#This Row],[BatchMeansHalfWidth]])</f>
        <v>8.4528080832815961E-2</v>
      </c>
    </row>
    <row r="70" spans="1:21" x14ac:dyDescent="0.25">
      <c r="A70" t="s">
        <v>67</v>
      </c>
      <c r="B70" t="s">
        <v>107</v>
      </c>
      <c r="C70">
        <v>7</v>
      </c>
      <c r="D70" t="s">
        <v>94</v>
      </c>
      <c r="E70" t="s">
        <v>92</v>
      </c>
      <c r="F70" t="s">
        <v>91</v>
      </c>
      <c r="G70">
        <v>0.170910196296711</v>
      </c>
      <c r="H70">
        <v>2E+20</v>
      </c>
      <c r="I70">
        <v>0</v>
      </c>
      <c r="J70">
        <v>1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13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0.105150492315538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0.53316656156980802</v>
      </c>
      <c r="U70">
        <f>IF((ContinuousStatsTable[[#This Row],[RepsRequested]]&gt;1),ContinuousStatsTable[[#This Row],[HalfWidth]],ContinuousStatsTable[[#This Row],[BatchMeansHalfWidth]])</f>
        <v>8.4528080832815961E-2</v>
      </c>
    </row>
    <row r="71" spans="1:21" x14ac:dyDescent="0.25">
      <c r="A71" t="s">
        <v>67</v>
      </c>
      <c r="B71" t="s">
        <v>107</v>
      </c>
      <c r="C71">
        <v>7</v>
      </c>
      <c r="D71" t="s">
        <v>94</v>
      </c>
      <c r="E71" t="s">
        <v>93</v>
      </c>
      <c r="F71" t="s">
        <v>91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13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67</v>
      </c>
      <c r="B72" t="s">
        <v>107</v>
      </c>
      <c r="C72">
        <v>8</v>
      </c>
      <c r="D72" t="s">
        <v>70</v>
      </c>
      <c r="E72" t="s">
        <v>85</v>
      </c>
      <c r="F72" t="s">
        <v>72</v>
      </c>
      <c r="G72">
        <v>7.7751911030232304</v>
      </c>
      <c r="H72">
        <v>2E+20</v>
      </c>
      <c r="I72">
        <v>0</v>
      </c>
      <c r="J72">
        <v>20</v>
      </c>
      <c r="K72">
        <v>6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13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0.215794703892706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14.2341958459241</v>
      </c>
      <c r="U72">
        <f>IF((ContinuousStatsTable[[#This Row],[RepsRequested]]&gt;1),ContinuousStatsTable[[#This Row],[HalfWidth]],ContinuousStatsTable[[#This Row],[BatchMeansHalfWidth]])</f>
        <v>2.4606143009614683</v>
      </c>
    </row>
    <row r="73" spans="1:21" x14ac:dyDescent="0.25">
      <c r="A73" t="s">
        <v>67</v>
      </c>
      <c r="B73" t="s">
        <v>107</v>
      </c>
      <c r="C73">
        <v>8</v>
      </c>
      <c r="D73" t="s">
        <v>73</v>
      </c>
      <c r="E73" t="s">
        <v>86</v>
      </c>
      <c r="F73" t="s">
        <v>75</v>
      </c>
      <c r="G73">
        <v>10.381998499495699</v>
      </c>
      <c r="H73">
        <v>2E+20</v>
      </c>
      <c r="I73">
        <v>0</v>
      </c>
      <c r="J73">
        <v>26</v>
      </c>
      <c r="K73">
        <v>10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13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0.76491535215578299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17.793092708137898</v>
      </c>
      <c r="U73">
        <f>IF((ContinuousStatsTable[[#This Row],[RepsRequested]]&gt;1),ContinuousStatsTable[[#This Row],[HalfWidth]],ContinuousStatsTable[[#This Row],[BatchMeansHalfWidth]])</f>
        <v>2.9731441000168419</v>
      </c>
    </row>
    <row r="74" spans="1:21" x14ac:dyDescent="0.25">
      <c r="A74" t="s">
        <v>67</v>
      </c>
      <c r="B74" t="s">
        <v>107</v>
      </c>
      <c r="C74">
        <v>8</v>
      </c>
      <c r="D74" t="s">
        <v>84</v>
      </c>
      <c r="E74" t="s">
        <v>85</v>
      </c>
      <c r="F74" t="s">
        <v>72</v>
      </c>
      <c r="G74">
        <v>0.46862858971951898</v>
      </c>
      <c r="H74">
        <v>2E+20</v>
      </c>
      <c r="I74">
        <v>0</v>
      </c>
      <c r="J74">
        <v>5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13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0.131443895620979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1.4695242868288101</v>
      </c>
      <c r="U74">
        <f>IF((ContinuousStatsTable[[#This Row],[RepsRequested]]&gt;1),ContinuousStatsTable[[#This Row],[HalfWidth]],ContinuousStatsTable[[#This Row],[BatchMeansHalfWidth]])</f>
        <v>0.29482375421631829</v>
      </c>
    </row>
    <row r="75" spans="1:21" x14ac:dyDescent="0.25">
      <c r="A75" t="s">
        <v>67</v>
      </c>
      <c r="B75" t="s">
        <v>107</v>
      </c>
      <c r="C75">
        <v>8</v>
      </c>
      <c r="D75" t="s">
        <v>87</v>
      </c>
      <c r="E75" t="s">
        <v>88</v>
      </c>
      <c r="F75" t="s">
        <v>83</v>
      </c>
      <c r="G75">
        <v>10.381998499495699</v>
      </c>
      <c r="H75">
        <v>2E+20</v>
      </c>
      <c r="I75">
        <v>0</v>
      </c>
      <c r="J75">
        <v>26</v>
      </c>
      <c r="K75">
        <v>10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13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0.76491535215578299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17.793092708137898</v>
      </c>
      <c r="U75">
        <f>IF((ContinuousStatsTable[[#This Row],[RepsRequested]]&gt;1),ContinuousStatsTable[[#This Row],[HalfWidth]],ContinuousStatsTable[[#This Row],[BatchMeansHalfWidth]])</f>
        <v>2.9731441000168419</v>
      </c>
    </row>
    <row r="76" spans="1:21" x14ac:dyDescent="0.25">
      <c r="A76" t="s">
        <v>67</v>
      </c>
      <c r="B76" t="s">
        <v>107</v>
      </c>
      <c r="C76">
        <v>8</v>
      </c>
      <c r="D76" t="s">
        <v>89</v>
      </c>
      <c r="E76" t="s">
        <v>90</v>
      </c>
      <c r="F76" t="s">
        <v>91</v>
      </c>
      <c r="G76">
        <v>0.91769977116840795</v>
      </c>
      <c r="H76">
        <v>2E+20</v>
      </c>
      <c r="I76">
        <v>0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13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0.146598355861076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0.91769977116840795</v>
      </c>
      <c r="U76">
        <f>IF((ContinuousStatsTable[[#This Row],[RepsRequested]]&gt;1),ContinuousStatsTable[[#This Row],[HalfWidth]],ContinuousStatsTable[[#This Row],[BatchMeansHalfWidth]])</f>
        <v>0.1575511007238469</v>
      </c>
    </row>
    <row r="77" spans="1:21" x14ac:dyDescent="0.25">
      <c r="A77" t="s">
        <v>67</v>
      </c>
      <c r="B77" t="s">
        <v>107</v>
      </c>
      <c r="C77">
        <v>8</v>
      </c>
      <c r="D77" t="s">
        <v>89</v>
      </c>
      <c r="E77" t="s">
        <v>92</v>
      </c>
      <c r="F77" t="s">
        <v>91</v>
      </c>
      <c r="G77">
        <v>1.8353995423368199</v>
      </c>
      <c r="H77">
        <v>2E+20</v>
      </c>
      <c r="I77">
        <v>0</v>
      </c>
      <c r="J77">
        <v>2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13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0.293196711722152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1.8353995423368199</v>
      </c>
      <c r="U77">
        <f>IF((ContinuousStatsTable[[#This Row],[RepsRequested]]&gt;1),ContinuousStatsTable[[#This Row],[HalfWidth]],ContinuousStatsTable[[#This Row],[BatchMeansHalfWidth]])</f>
        <v>0.31510220144769419</v>
      </c>
    </row>
    <row r="78" spans="1:21" x14ac:dyDescent="0.25">
      <c r="A78" t="s">
        <v>67</v>
      </c>
      <c r="B78" t="s">
        <v>107</v>
      </c>
      <c r="C78">
        <v>8</v>
      </c>
      <c r="D78" t="s">
        <v>89</v>
      </c>
      <c r="E78" t="s">
        <v>93</v>
      </c>
      <c r="F78" t="s">
        <v>91</v>
      </c>
      <c r="G78">
        <v>2</v>
      </c>
      <c r="H78">
        <v>2E+20</v>
      </c>
      <c r="I78">
        <v>2</v>
      </c>
      <c r="J78">
        <v>2</v>
      </c>
      <c r="K78">
        <v>2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13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2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2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2</v>
      </c>
      <c r="U78">
        <f>IF((ContinuousStatsTable[[#This Row],[RepsRequested]]&gt;1),ContinuousStatsTable[[#This Row],[HalfWidth]],ContinuousStatsTable[[#This Row],[BatchMeansHalfWidth]])</f>
        <v>0</v>
      </c>
    </row>
    <row r="79" spans="1:21" x14ac:dyDescent="0.25">
      <c r="A79" t="s">
        <v>67</v>
      </c>
      <c r="B79" t="s">
        <v>107</v>
      </c>
      <c r="C79">
        <v>8</v>
      </c>
      <c r="D79" t="s">
        <v>94</v>
      </c>
      <c r="E79" t="s">
        <v>90</v>
      </c>
      <c r="F79" t="s">
        <v>91</v>
      </c>
      <c r="G79">
        <v>0.30277926441613101</v>
      </c>
      <c r="H79">
        <v>2E+20</v>
      </c>
      <c r="I79">
        <v>0</v>
      </c>
      <c r="J79">
        <v>1</v>
      </c>
      <c r="K79">
        <v>1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13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0.105150492315538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0.53316656156980802</v>
      </c>
      <c r="U79">
        <f>IF((ContinuousStatsTable[[#This Row],[RepsRequested]]&gt;1),ContinuousStatsTable[[#This Row],[HalfWidth]],ContinuousStatsTable[[#This Row],[BatchMeansHalfWidth]])</f>
        <v>8.4528080832815961E-2</v>
      </c>
    </row>
    <row r="80" spans="1:21" x14ac:dyDescent="0.25">
      <c r="A80" t="s">
        <v>67</v>
      </c>
      <c r="B80" t="s">
        <v>107</v>
      </c>
      <c r="C80">
        <v>8</v>
      </c>
      <c r="D80" t="s">
        <v>94</v>
      </c>
      <c r="E80" t="s">
        <v>92</v>
      </c>
      <c r="F80" t="s">
        <v>91</v>
      </c>
      <c r="G80">
        <v>0.30277926441613101</v>
      </c>
      <c r="H80">
        <v>2E+20</v>
      </c>
      <c r="I80">
        <v>0</v>
      </c>
      <c r="J80">
        <v>1</v>
      </c>
      <c r="K80">
        <v>1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13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0.105150492315538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0.53316656156980802</v>
      </c>
      <c r="U80">
        <f>IF((ContinuousStatsTable[[#This Row],[RepsRequested]]&gt;1),ContinuousStatsTable[[#This Row],[HalfWidth]],ContinuousStatsTable[[#This Row],[BatchMeansHalfWidth]])</f>
        <v>8.4528080832815961E-2</v>
      </c>
    </row>
    <row r="81" spans="1:21" x14ac:dyDescent="0.25">
      <c r="A81" t="s">
        <v>67</v>
      </c>
      <c r="B81" t="s">
        <v>107</v>
      </c>
      <c r="C81">
        <v>8</v>
      </c>
      <c r="D81" t="s">
        <v>94</v>
      </c>
      <c r="E81" t="s">
        <v>93</v>
      </c>
      <c r="F81" t="s">
        <v>91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13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>
        <f>IF((ContinuousStatsTable[[#This Row],[RepsRequested]]&gt;1),ContinuousStatsTable[[#This Row],[HalfWidth]],ContinuousStatsTable[[#This Row],[BatchMeansHalfWidth]])</f>
        <v>0</v>
      </c>
    </row>
    <row r="82" spans="1:21" x14ac:dyDescent="0.25">
      <c r="A82" t="s">
        <v>67</v>
      </c>
      <c r="B82" t="s">
        <v>107</v>
      </c>
      <c r="C82">
        <v>9</v>
      </c>
      <c r="D82" t="s">
        <v>70</v>
      </c>
      <c r="E82" t="s">
        <v>85</v>
      </c>
      <c r="F82" t="s">
        <v>72</v>
      </c>
      <c r="G82">
        <v>0.215794703892706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13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0.215794703892706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14.2341958459241</v>
      </c>
      <c r="U82">
        <f>IF((ContinuousStatsTable[[#This Row],[RepsRequested]]&gt;1),ContinuousStatsTable[[#This Row],[HalfWidth]],ContinuousStatsTable[[#This Row],[BatchMeansHalfWidth]])</f>
        <v>2.4606143009614683</v>
      </c>
    </row>
    <row r="83" spans="1:21" x14ac:dyDescent="0.25">
      <c r="A83" t="s">
        <v>67</v>
      </c>
      <c r="B83" t="s">
        <v>107</v>
      </c>
      <c r="C83">
        <v>9</v>
      </c>
      <c r="D83" t="s">
        <v>73</v>
      </c>
      <c r="E83" t="s">
        <v>86</v>
      </c>
      <c r="F83" t="s">
        <v>75</v>
      </c>
      <c r="G83">
        <v>0.76491535215578299</v>
      </c>
      <c r="H83">
        <v>2E+20</v>
      </c>
      <c r="I83">
        <v>0</v>
      </c>
      <c r="J83">
        <v>10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13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0.76491535215578299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17.793092708137898</v>
      </c>
      <c r="U83">
        <f>IF((ContinuousStatsTable[[#This Row],[RepsRequested]]&gt;1),ContinuousStatsTable[[#This Row],[HalfWidth]],ContinuousStatsTable[[#This Row],[BatchMeansHalfWidth]])</f>
        <v>2.9731441000168419</v>
      </c>
    </row>
    <row r="84" spans="1:21" x14ac:dyDescent="0.25">
      <c r="A84" t="s">
        <v>67</v>
      </c>
      <c r="B84" t="s">
        <v>107</v>
      </c>
      <c r="C84">
        <v>9</v>
      </c>
      <c r="D84" t="s">
        <v>84</v>
      </c>
      <c r="E84" t="s">
        <v>85</v>
      </c>
      <c r="F84" t="s">
        <v>72</v>
      </c>
      <c r="G84">
        <v>0.15018418068283401</v>
      </c>
      <c r="H84">
        <v>2E+20</v>
      </c>
      <c r="I84">
        <v>0</v>
      </c>
      <c r="J84">
        <v>3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13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0.131443895620979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1.4695242868288101</v>
      </c>
      <c r="U84">
        <f>IF((ContinuousStatsTable[[#This Row],[RepsRequested]]&gt;1),ContinuousStatsTable[[#This Row],[HalfWidth]],ContinuousStatsTable[[#This Row],[BatchMeansHalfWidth]])</f>
        <v>0.29482375421631829</v>
      </c>
    </row>
    <row r="85" spans="1:21" x14ac:dyDescent="0.25">
      <c r="A85" t="s">
        <v>67</v>
      </c>
      <c r="B85" t="s">
        <v>107</v>
      </c>
      <c r="C85">
        <v>9</v>
      </c>
      <c r="D85" t="s">
        <v>87</v>
      </c>
      <c r="E85" t="s">
        <v>88</v>
      </c>
      <c r="F85" t="s">
        <v>83</v>
      </c>
      <c r="G85">
        <v>0.76491535215578299</v>
      </c>
      <c r="H85">
        <v>2E+20</v>
      </c>
      <c r="I85">
        <v>0</v>
      </c>
      <c r="J85">
        <v>10</v>
      </c>
      <c r="K85">
        <v>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13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0.76491535215578299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17.793092708137898</v>
      </c>
      <c r="U85">
        <f>IF((ContinuousStatsTable[[#This Row],[RepsRequested]]&gt;1),ContinuousStatsTable[[#This Row],[HalfWidth]],ContinuousStatsTable[[#This Row],[BatchMeansHalfWidth]])</f>
        <v>2.9731441000168419</v>
      </c>
    </row>
    <row r="86" spans="1:21" x14ac:dyDescent="0.25">
      <c r="A86" t="s">
        <v>67</v>
      </c>
      <c r="B86" t="s">
        <v>107</v>
      </c>
      <c r="C86">
        <v>9</v>
      </c>
      <c r="D86" t="s">
        <v>89</v>
      </c>
      <c r="E86" t="s">
        <v>90</v>
      </c>
      <c r="F86" t="s">
        <v>91</v>
      </c>
      <c r="G86">
        <v>0.146598355861076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13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0.146598355861076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0.91769977116840795</v>
      </c>
      <c r="U86">
        <f>IF((ContinuousStatsTable[[#This Row],[RepsRequested]]&gt;1),ContinuousStatsTable[[#This Row],[HalfWidth]],ContinuousStatsTable[[#This Row],[BatchMeansHalfWidth]])</f>
        <v>0.1575511007238469</v>
      </c>
    </row>
    <row r="87" spans="1:21" x14ac:dyDescent="0.25">
      <c r="A87" t="s">
        <v>67</v>
      </c>
      <c r="B87" t="s">
        <v>107</v>
      </c>
      <c r="C87">
        <v>9</v>
      </c>
      <c r="D87" t="s">
        <v>89</v>
      </c>
      <c r="E87" t="s">
        <v>92</v>
      </c>
      <c r="F87" t="s">
        <v>91</v>
      </c>
      <c r="G87">
        <v>0.293196711722152</v>
      </c>
      <c r="H87">
        <v>2E+20</v>
      </c>
      <c r="I87">
        <v>0</v>
      </c>
      <c r="J87">
        <v>2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13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0.293196711722152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1.8353995423368199</v>
      </c>
      <c r="U87">
        <f>IF((ContinuousStatsTable[[#This Row],[RepsRequested]]&gt;1),ContinuousStatsTable[[#This Row],[HalfWidth]],ContinuousStatsTable[[#This Row],[BatchMeansHalfWidth]])</f>
        <v>0.31510220144769419</v>
      </c>
    </row>
    <row r="88" spans="1:21" x14ac:dyDescent="0.25">
      <c r="A88" t="s">
        <v>67</v>
      </c>
      <c r="B88" t="s">
        <v>107</v>
      </c>
      <c r="C88">
        <v>9</v>
      </c>
      <c r="D88" t="s">
        <v>89</v>
      </c>
      <c r="E88" t="s">
        <v>93</v>
      </c>
      <c r="F88" t="s">
        <v>91</v>
      </c>
      <c r="G88">
        <v>2</v>
      </c>
      <c r="H88">
        <v>2E+20</v>
      </c>
      <c r="I88">
        <v>2</v>
      </c>
      <c r="J88">
        <v>2</v>
      </c>
      <c r="K88">
        <v>2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13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2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2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2</v>
      </c>
      <c r="U88">
        <f>IF((ContinuousStatsTable[[#This Row],[RepsRequested]]&gt;1),ContinuousStatsTable[[#This Row],[HalfWidth]],ContinuousStatsTable[[#This Row],[BatchMeansHalfWidth]])</f>
        <v>0</v>
      </c>
    </row>
    <row r="89" spans="1:21" x14ac:dyDescent="0.25">
      <c r="A89" t="s">
        <v>67</v>
      </c>
      <c r="B89" t="s">
        <v>107</v>
      </c>
      <c r="C89">
        <v>9</v>
      </c>
      <c r="D89" t="s">
        <v>94</v>
      </c>
      <c r="E89" t="s">
        <v>90</v>
      </c>
      <c r="F89" t="s">
        <v>91</v>
      </c>
      <c r="G89">
        <v>0.10573975585809101</v>
      </c>
      <c r="H89">
        <v>2E+20</v>
      </c>
      <c r="I89">
        <v>0</v>
      </c>
      <c r="J89">
        <v>1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13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0.105150492315538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0.53316656156980802</v>
      </c>
      <c r="U89">
        <f>IF((ContinuousStatsTable[[#This Row],[RepsRequested]]&gt;1),ContinuousStatsTable[[#This Row],[HalfWidth]],ContinuousStatsTable[[#This Row],[BatchMeansHalfWidth]])</f>
        <v>8.4528080832815961E-2</v>
      </c>
    </row>
    <row r="90" spans="1:21" x14ac:dyDescent="0.25">
      <c r="A90" t="s">
        <v>67</v>
      </c>
      <c r="B90" t="s">
        <v>107</v>
      </c>
      <c r="C90">
        <v>9</v>
      </c>
      <c r="D90" t="s">
        <v>94</v>
      </c>
      <c r="E90" t="s">
        <v>92</v>
      </c>
      <c r="F90" t="s">
        <v>91</v>
      </c>
      <c r="G90">
        <v>0.10573975585809101</v>
      </c>
      <c r="H90">
        <v>2E+20</v>
      </c>
      <c r="I90">
        <v>0</v>
      </c>
      <c r="J90">
        <v>1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13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0.105150492315538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0.53316656156980802</v>
      </c>
      <c r="U90">
        <f>IF((ContinuousStatsTable[[#This Row],[RepsRequested]]&gt;1),ContinuousStatsTable[[#This Row],[HalfWidth]],ContinuousStatsTable[[#This Row],[BatchMeansHalfWidth]])</f>
        <v>8.4528080832815961E-2</v>
      </c>
    </row>
    <row r="91" spans="1:21" x14ac:dyDescent="0.25">
      <c r="A91" t="s">
        <v>67</v>
      </c>
      <c r="B91" t="s">
        <v>107</v>
      </c>
      <c r="C91">
        <v>9</v>
      </c>
      <c r="D91" t="s">
        <v>94</v>
      </c>
      <c r="E91" t="s">
        <v>93</v>
      </c>
      <c r="F91" t="s">
        <v>91</v>
      </c>
      <c r="G91">
        <v>1</v>
      </c>
      <c r="H91">
        <v>2E+20</v>
      </c>
      <c r="I91">
        <v>1</v>
      </c>
      <c r="J91">
        <v>1</v>
      </c>
      <c r="K91">
        <v>1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13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1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1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1</v>
      </c>
      <c r="U91">
        <f>IF((ContinuousStatsTable[[#This Row],[RepsRequested]]&gt;1),ContinuousStatsTable[[#This Row],[HalfWidth]],ContinuousStatsTable[[#This Row],[BatchMeansHalfWidth]])</f>
        <v>0</v>
      </c>
    </row>
    <row r="92" spans="1:21" x14ac:dyDescent="0.25">
      <c r="A92" t="s">
        <v>67</v>
      </c>
      <c r="B92" t="s">
        <v>107</v>
      </c>
      <c r="C92">
        <v>10</v>
      </c>
      <c r="D92" t="s">
        <v>70</v>
      </c>
      <c r="E92" t="s">
        <v>85</v>
      </c>
      <c r="F92" t="s">
        <v>72</v>
      </c>
      <c r="G92">
        <v>6.6820435618287997</v>
      </c>
      <c r="H92">
        <v>2E+20</v>
      </c>
      <c r="I92">
        <v>0</v>
      </c>
      <c r="J92">
        <v>25</v>
      </c>
      <c r="K92">
        <v>22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13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0.215794703892706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14.2341958459241</v>
      </c>
      <c r="U92">
        <f>IF((ContinuousStatsTable[[#This Row],[RepsRequested]]&gt;1),ContinuousStatsTable[[#This Row],[HalfWidth]],ContinuousStatsTable[[#This Row],[BatchMeansHalfWidth]])</f>
        <v>2.4606143009614683</v>
      </c>
    </row>
    <row r="93" spans="1:21" x14ac:dyDescent="0.25">
      <c r="A93" t="s">
        <v>67</v>
      </c>
      <c r="B93" t="s">
        <v>107</v>
      </c>
      <c r="C93">
        <v>10</v>
      </c>
      <c r="D93" t="s">
        <v>73</v>
      </c>
      <c r="E93" t="s">
        <v>86</v>
      </c>
      <c r="F93" t="s">
        <v>75</v>
      </c>
      <c r="G93">
        <v>10.1506727122774</v>
      </c>
      <c r="H93">
        <v>2E+20</v>
      </c>
      <c r="I93">
        <v>0</v>
      </c>
      <c r="J93">
        <v>33</v>
      </c>
      <c r="K93">
        <v>26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13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0.76491535215578299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17.793092708137898</v>
      </c>
      <c r="U93">
        <f>IF((ContinuousStatsTable[[#This Row],[RepsRequested]]&gt;1),ContinuousStatsTable[[#This Row],[HalfWidth]],ContinuousStatsTable[[#This Row],[BatchMeansHalfWidth]])</f>
        <v>2.9731441000168419</v>
      </c>
    </row>
    <row r="94" spans="1:21" x14ac:dyDescent="0.25">
      <c r="A94" t="s">
        <v>67</v>
      </c>
      <c r="B94" t="s">
        <v>107</v>
      </c>
      <c r="C94">
        <v>10</v>
      </c>
      <c r="D94" t="s">
        <v>84</v>
      </c>
      <c r="E94" t="s">
        <v>85</v>
      </c>
      <c r="F94" t="s">
        <v>72</v>
      </c>
      <c r="G94">
        <v>1.4695242868288101</v>
      </c>
      <c r="H94">
        <v>2E+20</v>
      </c>
      <c r="I94">
        <v>0</v>
      </c>
      <c r="J94">
        <v>7</v>
      </c>
      <c r="K94">
        <v>1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13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0.131443895620979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1.4695242868288101</v>
      </c>
      <c r="U94">
        <f>IF((ContinuousStatsTable[[#This Row],[RepsRequested]]&gt;1),ContinuousStatsTable[[#This Row],[HalfWidth]],ContinuousStatsTable[[#This Row],[BatchMeansHalfWidth]])</f>
        <v>0.29482375421631829</v>
      </c>
    </row>
    <row r="95" spans="1:21" x14ac:dyDescent="0.25">
      <c r="A95" t="s">
        <v>67</v>
      </c>
      <c r="B95" t="s">
        <v>107</v>
      </c>
      <c r="C95">
        <v>10</v>
      </c>
      <c r="D95" t="s">
        <v>87</v>
      </c>
      <c r="E95" t="s">
        <v>88</v>
      </c>
      <c r="F95" t="s">
        <v>83</v>
      </c>
      <c r="G95">
        <v>10.1506727122774</v>
      </c>
      <c r="H95">
        <v>2E+20</v>
      </c>
      <c r="I95">
        <v>0</v>
      </c>
      <c r="J95">
        <v>33</v>
      </c>
      <c r="K95">
        <v>26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13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0.76491535215578299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17.793092708137898</v>
      </c>
      <c r="U95">
        <f>IF((ContinuousStatsTable[[#This Row],[RepsRequested]]&gt;1),ContinuousStatsTable[[#This Row],[HalfWidth]],ContinuousStatsTable[[#This Row],[BatchMeansHalfWidth]])</f>
        <v>2.9731441000168419</v>
      </c>
    </row>
    <row r="96" spans="1:21" x14ac:dyDescent="0.25">
      <c r="A96" t="s">
        <v>67</v>
      </c>
      <c r="B96" t="s">
        <v>107</v>
      </c>
      <c r="C96">
        <v>10</v>
      </c>
      <c r="D96" t="s">
        <v>89</v>
      </c>
      <c r="E96" t="s">
        <v>90</v>
      </c>
      <c r="F96" t="s">
        <v>91</v>
      </c>
      <c r="G96">
        <v>0.73296915102496596</v>
      </c>
      <c r="H96">
        <v>2E+20</v>
      </c>
      <c r="I96">
        <v>0</v>
      </c>
      <c r="J96">
        <v>1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13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0.146598355861076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0.91769977116840795</v>
      </c>
      <c r="U96">
        <f>IF((ContinuousStatsTable[[#This Row],[RepsRequested]]&gt;1),ContinuousStatsTable[[#This Row],[HalfWidth]],ContinuousStatsTable[[#This Row],[BatchMeansHalfWidth]])</f>
        <v>0.1575511007238469</v>
      </c>
    </row>
    <row r="97" spans="1:21" x14ac:dyDescent="0.25">
      <c r="A97" t="s">
        <v>67</v>
      </c>
      <c r="B97" t="s">
        <v>107</v>
      </c>
      <c r="C97">
        <v>10</v>
      </c>
      <c r="D97" t="s">
        <v>89</v>
      </c>
      <c r="E97" t="s">
        <v>92</v>
      </c>
      <c r="F97" t="s">
        <v>91</v>
      </c>
      <c r="G97">
        <v>1.4659383020499299</v>
      </c>
      <c r="H97">
        <v>2E+20</v>
      </c>
      <c r="I97">
        <v>0</v>
      </c>
      <c r="J97">
        <v>2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13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0.293196711722152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1.8353995423368199</v>
      </c>
      <c r="U97">
        <f>IF((ContinuousStatsTable[[#This Row],[RepsRequested]]&gt;1),ContinuousStatsTable[[#This Row],[HalfWidth]],ContinuousStatsTable[[#This Row],[BatchMeansHalfWidth]])</f>
        <v>0.31510220144769419</v>
      </c>
    </row>
    <row r="98" spans="1:21" x14ac:dyDescent="0.25">
      <c r="A98" t="s">
        <v>67</v>
      </c>
      <c r="B98" t="s">
        <v>107</v>
      </c>
      <c r="C98">
        <v>10</v>
      </c>
      <c r="D98" t="s">
        <v>89</v>
      </c>
      <c r="E98" t="s">
        <v>93</v>
      </c>
      <c r="F98" t="s">
        <v>91</v>
      </c>
      <c r="G98">
        <v>2</v>
      </c>
      <c r="H98">
        <v>2E+20</v>
      </c>
      <c r="I98">
        <v>2</v>
      </c>
      <c r="J98">
        <v>2</v>
      </c>
      <c r="K98">
        <v>2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13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2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2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2</v>
      </c>
      <c r="U98">
        <f>IF((ContinuousStatsTable[[#This Row],[RepsRequested]]&gt;1),ContinuousStatsTable[[#This Row],[HalfWidth]],ContinuousStatsTable[[#This Row],[BatchMeansHalfWidth]])</f>
        <v>0</v>
      </c>
    </row>
    <row r="99" spans="1:21" x14ac:dyDescent="0.25">
      <c r="A99" t="s">
        <v>67</v>
      </c>
      <c r="B99" t="s">
        <v>107</v>
      </c>
      <c r="C99">
        <v>10</v>
      </c>
      <c r="D99" t="s">
        <v>94</v>
      </c>
      <c r="E99" t="s">
        <v>90</v>
      </c>
      <c r="F99" t="s">
        <v>91</v>
      </c>
      <c r="G99">
        <v>0.53316656156980802</v>
      </c>
      <c r="H99">
        <v>2E+20</v>
      </c>
      <c r="I99">
        <v>0</v>
      </c>
      <c r="J99">
        <v>1</v>
      </c>
      <c r="K99">
        <v>1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13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0.105150492315538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0.53316656156980802</v>
      </c>
      <c r="U99">
        <f>IF((ContinuousStatsTable[[#This Row],[RepsRequested]]&gt;1),ContinuousStatsTable[[#This Row],[HalfWidth]],ContinuousStatsTable[[#This Row],[BatchMeansHalfWidth]])</f>
        <v>8.4528080832815961E-2</v>
      </c>
    </row>
    <row r="100" spans="1:21" x14ac:dyDescent="0.25">
      <c r="A100" t="s">
        <v>67</v>
      </c>
      <c r="B100" t="s">
        <v>107</v>
      </c>
      <c r="C100">
        <v>10</v>
      </c>
      <c r="D100" t="s">
        <v>94</v>
      </c>
      <c r="E100" t="s">
        <v>92</v>
      </c>
      <c r="F100" t="s">
        <v>91</v>
      </c>
      <c r="G100">
        <v>0.53316656156980802</v>
      </c>
      <c r="H100">
        <v>2E+20</v>
      </c>
      <c r="I100">
        <v>0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13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0.105150492315538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0.53316656156980802</v>
      </c>
      <c r="U100">
        <f>IF((ContinuousStatsTable[[#This Row],[RepsRequested]]&gt;1),ContinuousStatsTable[[#This Row],[HalfWidth]],ContinuousStatsTable[[#This Row],[BatchMeansHalfWidth]])</f>
        <v>8.4528080832815961E-2</v>
      </c>
    </row>
    <row r="101" spans="1:21" x14ac:dyDescent="0.25">
      <c r="A101" t="s">
        <v>67</v>
      </c>
      <c r="B101" t="s">
        <v>107</v>
      </c>
      <c r="C101">
        <v>10</v>
      </c>
      <c r="D101" t="s">
        <v>94</v>
      </c>
      <c r="E101" t="s">
        <v>93</v>
      </c>
      <c r="F101" t="s">
        <v>91</v>
      </c>
      <c r="G101">
        <v>1</v>
      </c>
      <c r="H101">
        <v>2E+20</v>
      </c>
      <c r="I101">
        <v>1</v>
      </c>
      <c r="J101">
        <v>1</v>
      </c>
      <c r="K101">
        <v>1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13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1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1</v>
      </c>
      <c r="U101">
        <f>IF((ContinuousStatsTable[[#This Row],[RepsRequested]]&gt;1),ContinuousStatsTable[[#This Row],[HalfWidth]],ContinuousStatsTable[[#This Row],[BatchMeansHalfWidth]])</f>
        <v>0</v>
      </c>
    </row>
    <row r="102" spans="1:21" x14ac:dyDescent="0.25">
      <c r="A102" t="s">
        <v>67</v>
      </c>
      <c r="B102" t="s">
        <v>107</v>
      </c>
      <c r="C102">
        <v>11</v>
      </c>
      <c r="D102" t="s">
        <v>70</v>
      </c>
      <c r="E102" t="s">
        <v>85</v>
      </c>
      <c r="F102" t="s">
        <v>72</v>
      </c>
      <c r="G102">
        <v>1.38327945649388</v>
      </c>
      <c r="H102">
        <v>2E+20</v>
      </c>
      <c r="I102">
        <v>0</v>
      </c>
      <c r="J102">
        <v>19</v>
      </c>
      <c r="K102">
        <v>17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13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0.215794703892706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14.2341958459241</v>
      </c>
      <c r="U102">
        <f>IF((ContinuousStatsTable[[#This Row],[RepsRequested]]&gt;1),ContinuousStatsTable[[#This Row],[HalfWidth]],ContinuousStatsTable[[#This Row],[BatchMeansHalfWidth]])</f>
        <v>2.4606143009614683</v>
      </c>
    </row>
    <row r="103" spans="1:21" x14ac:dyDescent="0.25">
      <c r="A103" t="s">
        <v>67</v>
      </c>
      <c r="B103" t="s">
        <v>107</v>
      </c>
      <c r="C103">
        <v>11</v>
      </c>
      <c r="D103" t="s">
        <v>73</v>
      </c>
      <c r="E103" t="s">
        <v>86</v>
      </c>
      <c r="F103" t="s">
        <v>75</v>
      </c>
      <c r="G103">
        <v>4.0123833867776604</v>
      </c>
      <c r="H103">
        <v>2E+20</v>
      </c>
      <c r="I103">
        <v>0</v>
      </c>
      <c r="J103">
        <v>28</v>
      </c>
      <c r="K103">
        <v>25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13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0.76491535215578299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17.793092708137898</v>
      </c>
      <c r="U103">
        <f>IF((ContinuousStatsTable[[#This Row],[RepsRequested]]&gt;1),ContinuousStatsTable[[#This Row],[HalfWidth]],ContinuousStatsTable[[#This Row],[BatchMeansHalfWidth]])</f>
        <v>2.9731441000168419</v>
      </c>
    </row>
    <row r="104" spans="1:21" x14ac:dyDescent="0.25">
      <c r="A104" t="s">
        <v>67</v>
      </c>
      <c r="B104" t="s">
        <v>107</v>
      </c>
      <c r="C104">
        <v>11</v>
      </c>
      <c r="D104" t="s">
        <v>84</v>
      </c>
      <c r="E104" t="s">
        <v>85</v>
      </c>
      <c r="F104" t="s">
        <v>72</v>
      </c>
      <c r="G104">
        <v>1.2040270691227399</v>
      </c>
      <c r="H104">
        <v>2E+20</v>
      </c>
      <c r="I104">
        <v>0</v>
      </c>
      <c r="J104">
        <v>7</v>
      </c>
      <c r="K104">
        <v>5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13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0.131443895620979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1.4695242868288101</v>
      </c>
      <c r="U104">
        <f>IF((ContinuousStatsTable[[#This Row],[RepsRequested]]&gt;1),ContinuousStatsTable[[#This Row],[HalfWidth]],ContinuousStatsTable[[#This Row],[BatchMeansHalfWidth]])</f>
        <v>0.29482375421631829</v>
      </c>
    </row>
    <row r="105" spans="1:21" x14ac:dyDescent="0.25">
      <c r="A105" t="s">
        <v>67</v>
      </c>
      <c r="B105" t="s">
        <v>107</v>
      </c>
      <c r="C105">
        <v>11</v>
      </c>
      <c r="D105" t="s">
        <v>87</v>
      </c>
      <c r="E105" t="s">
        <v>88</v>
      </c>
      <c r="F105" t="s">
        <v>83</v>
      </c>
      <c r="G105">
        <v>4.0123833867776604</v>
      </c>
      <c r="H105">
        <v>2E+20</v>
      </c>
      <c r="I105">
        <v>0</v>
      </c>
      <c r="J105">
        <v>28</v>
      </c>
      <c r="K105">
        <v>25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13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0.76491535215578299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17.793092708137898</v>
      </c>
      <c r="U105">
        <f>IF((ContinuousStatsTable[[#This Row],[RepsRequested]]&gt;1),ContinuousStatsTable[[#This Row],[HalfWidth]],ContinuousStatsTable[[#This Row],[BatchMeansHalfWidth]])</f>
        <v>2.9731441000168419</v>
      </c>
    </row>
    <row r="106" spans="1:21" x14ac:dyDescent="0.25">
      <c r="A106" t="s">
        <v>67</v>
      </c>
      <c r="B106" t="s">
        <v>107</v>
      </c>
      <c r="C106">
        <v>11</v>
      </c>
      <c r="D106" t="s">
        <v>89</v>
      </c>
      <c r="E106" t="s">
        <v>90</v>
      </c>
      <c r="F106" t="s">
        <v>91</v>
      </c>
      <c r="G106">
        <v>0.50974282027381601</v>
      </c>
      <c r="H106">
        <v>2E+20</v>
      </c>
      <c r="I106">
        <v>0</v>
      </c>
      <c r="J106">
        <v>1</v>
      </c>
      <c r="K106">
        <v>1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13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0.146598355861076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0.91769977116840795</v>
      </c>
      <c r="U106">
        <f>IF((ContinuousStatsTable[[#This Row],[RepsRequested]]&gt;1),ContinuousStatsTable[[#This Row],[HalfWidth]],ContinuousStatsTable[[#This Row],[BatchMeansHalfWidth]])</f>
        <v>0.1575511007238469</v>
      </c>
    </row>
    <row r="107" spans="1:21" x14ac:dyDescent="0.25">
      <c r="A107" t="s">
        <v>67</v>
      </c>
      <c r="B107" t="s">
        <v>107</v>
      </c>
      <c r="C107">
        <v>11</v>
      </c>
      <c r="D107" t="s">
        <v>89</v>
      </c>
      <c r="E107" t="s">
        <v>92</v>
      </c>
      <c r="F107" t="s">
        <v>91</v>
      </c>
      <c r="G107">
        <v>1.01948564054763</v>
      </c>
      <c r="H107">
        <v>2E+20</v>
      </c>
      <c r="I107">
        <v>0</v>
      </c>
      <c r="J107">
        <v>2</v>
      </c>
      <c r="K107">
        <v>2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13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0.293196711722152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1.8353995423368199</v>
      </c>
      <c r="U107">
        <f>IF((ContinuousStatsTable[[#This Row],[RepsRequested]]&gt;1),ContinuousStatsTable[[#This Row],[HalfWidth]],ContinuousStatsTable[[#This Row],[BatchMeansHalfWidth]])</f>
        <v>0.31510220144769419</v>
      </c>
    </row>
    <row r="108" spans="1:21" x14ac:dyDescent="0.25">
      <c r="A108" t="s">
        <v>67</v>
      </c>
      <c r="B108" t="s">
        <v>107</v>
      </c>
      <c r="C108">
        <v>11</v>
      </c>
      <c r="D108" t="s">
        <v>89</v>
      </c>
      <c r="E108" t="s">
        <v>93</v>
      </c>
      <c r="F108" t="s">
        <v>91</v>
      </c>
      <c r="G108">
        <v>2</v>
      </c>
      <c r="H108">
        <v>2E+20</v>
      </c>
      <c r="I108">
        <v>2</v>
      </c>
      <c r="J108">
        <v>2</v>
      </c>
      <c r="K108">
        <v>2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13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2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0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2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2</v>
      </c>
      <c r="U108">
        <f>IF((ContinuousStatsTable[[#This Row],[RepsRequested]]&gt;1),ContinuousStatsTable[[#This Row],[HalfWidth]],ContinuousStatsTable[[#This Row],[BatchMeansHalfWidth]])</f>
        <v>0</v>
      </c>
    </row>
    <row r="109" spans="1:21" x14ac:dyDescent="0.25">
      <c r="A109" t="s">
        <v>67</v>
      </c>
      <c r="B109" t="s">
        <v>107</v>
      </c>
      <c r="C109">
        <v>11</v>
      </c>
      <c r="D109" t="s">
        <v>94</v>
      </c>
      <c r="E109" t="s">
        <v>90</v>
      </c>
      <c r="F109" t="s">
        <v>91</v>
      </c>
      <c r="G109">
        <v>0.40559122061339797</v>
      </c>
      <c r="H109">
        <v>2E+20</v>
      </c>
      <c r="I109">
        <v>0</v>
      </c>
      <c r="J109">
        <v>1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13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0.105150492315538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0.53316656156980802</v>
      </c>
      <c r="U109">
        <f>IF((ContinuousStatsTable[[#This Row],[RepsRequested]]&gt;1),ContinuousStatsTable[[#This Row],[HalfWidth]],ContinuousStatsTable[[#This Row],[BatchMeansHalfWidth]])</f>
        <v>8.4528080832815961E-2</v>
      </c>
    </row>
    <row r="110" spans="1:21" x14ac:dyDescent="0.25">
      <c r="A110" t="s">
        <v>67</v>
      </c>
      <c r="B110" t="s">
        <v>107</v>
      </c>
      <c r="C110">
        <v>11</v>
      </c>
      <c r="D110" t="s">
        <v>94</v>
      </c>
      <c r="E110" t="s">
        <v>92</v>
      </c>
      <c r="F110" t="s">
        <v>91</v>
      </c>
      <c r="G110">
        <v>0.40559122061339797</v>
      </c>
      <c r="H110">
        <v>2E+20</v>
      </c>
      <c r="I110">
        <v>0</v>
      </c>
      <c r="J110">
        <v>1</v>
      </c>
      <c r="K110">
        <v>1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13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0.105150492315538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0.53316656156980802</v>
      </c>
      <c r="U110">
        <f>IF((ContinuousStatsTable[[#This Row],[RepsRequested]]&gt;1),ContinuousStatsTable[[#This Row],[HalfWidth]],ContinuousStatsTable[[#This Row],[BatchMeansHalfWidth]])</f>
        <v>8.4528080832815961E-2</v>
      </c>
    </row>
    <row r="111" spans="1:21" x14ac:dyDescent="0.25">
      <c r="A111" t="s">
        <v>67</v>
      </c>
      <c r="B111" t="s">
        <v>107</v>
      </c>
      <c r="C111">
        <v>11</v>
      </c>
      <c r="D111" t="s">
        <v>94</v>
      </c>
      <c r="E111" t="s">
        <v>93</v>
      </c>
      <c r="F111" t="s">
        <v>91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13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5">
      <c r="A112" t="s">
        <v>67</v>
      </c>
      <c r="B112" t="s">
        <v>107</v>
      </c>
      <c r="C112">
        <v>12</v>
      </c>
      <c r="D112" t="s">
        <v>70</v>
      </c>
      <c r="E112" t="s">
        <v>85</v>
      </c>
      <c r="F112" t="s">
        <v>72</v>
      </c>
      <c r="G112">
        <v>2.9035107625577798</v>
      </c>
      <c r="H112">
        <v>2E+20</v>
      </c>
      <c r="I112">
        <v>0</v>
      </c>
      <c r="J112">
        <v>14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13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0.215794703892706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14.2341958459241</v>
      </c>
      <c r="U112">
        <f>IF((ContinuousStatsTable[[#This Row],[RepsRequested]]&gt;1),ContinuousStatsTable[[#This Row],[HalfWidth]],ContinuousStatsTable[[#This Row],[BatchMeansHalfWidth]])</f>
        <v>2.4606143009614683</v>
      </c>
    </row>
    <row r="113" spans="1:21" x14ac:dyDescent="0.25">
      <c r="A113" t="s">
        <v>67</v>
      </c>
      <c r="B113" t="s">
        <v>107</v>
      </c>
      <c r="C113">
        <v>12</v>
      </c>
      <c r="D113" t="s">
        <v>73</v>
      </c>
      <c r="E113" t="s">
        <v>86</v>
      </c>
      <c r="F113" t="s">
        <v>75</v>
      </c>
      <c r="G113">
        <v>4.1659317529046698</v>
      </c>
      <c r="H113">
        <v>2E+20</v>
      </c>
      <c r="I113">
        <v>0</v>
      </c>
      <c r="J113">
        <v>16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13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0.76491535215578299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17.793092708137898</v>
      </c>
      <c r="U113">
        <f>IF((ContinuousStatsTable[[#This Row],[RepsRequested]]&gt;1),ContinuousStatsTable[[#This Row],[HalfWidth]],ContinuousStatsTable[[#This Row],[BatchMeansHalfWidth]])</f>
        <v>2.9731441000168419</v>
      </c>
    </row>
    <row r="114" spans="1:21" x14ac:dyDescent="0.25">
      <c r="A114" t="s">
        <v>67</v>
      </c>
      <c r="B114" t="s">
        <v>107</v>
      </c>
      <c r="C114">
        <v>12</v>
      </c>
      <c r="D114" t="s">
        <v>84</v>
      </c>
      <c r="E114" t="s">
        <v>85</v>
      </c>
      <c r="F114" t="s">
        <v>72</v>
      </c>
      <c r="G114">
        <v>0.131443895620979</v>
      </c>
      <c r="H114">
        <v>2E+20</v>
      </c>
      <c r="I114">
        <v>0</v>
      </c>
      <c r="J114">
        <v>2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13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0.131443895620979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1.4695242868288101</v>
      </c>
      <c r="U114">
        <f>IF((ContinuousStatsTable[[#This Row],[RepsRequested]]&gt;1),ContinuousStatsTable[[#This Row],[HalfWidth]],ContinuousStatsTable[[#This Row],[BatchMeansHalfWidth]])</f>
        <v>0.29482375421631829</v>
      </c>
    </row>
    <row r="115" spans="1:21" x14ac:dyDescent="0.25">
      <c r="A115" t="s">
        <v>67</v>
      </c>
      <c r="B115" t="s">
        <v>107</v>
      </c>
      <c r="C115">
        <v>12</v>
      </c>
      <c r="D115" t="s">
        <v>87</v>
      </c>
      <c r="E115" t="s">
        <v>88</v>
      </c>
      <c r="F115" t="s">
        <v>83</v>
      </c>
      <c r="G115">
        <v>4.1659317529046698</v>
      </c>
      <c r="H115">
        <v>2E+20</v>
      </c>
      <c r="I115">
        <v>0</v>
      </c>
      <c r="J115">
        <v>16</v>
      </c>
      <c r="K115">
        <v>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13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0.76491535215578299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17.793092708137898</v>
      </c>
      <c r="U115">
        <f>IF((ContinuousStatsTable[[#This Row],[RepsRequested]]&gt;1),ContinuousStatsTable[[#This Row],[HalfWidth]],ContinuousStatsTable[[#This Row],[BatchMeansHalfWidth]])</f>
        <v>2.9731441000168419</v>
      </c>
    </row>
    <row r="116" spans="1:21" x14ac:dyDescent="0.25">
      <c r="A116" t="s">
        <v>67</v>
      </c>
      <c r="B116" t="s">
        <v>107</v>
      </c>
      <c r="C116">
        <v>12</v>
      </c>
      <c r="D116" t="s">
        <v>89</v>
      </c>
      <c r="E116" t="s">
        <v>90</v>
      </c>
      <c r="F116" t="s">
        <v>91</v>
      </c>
      <c r="G116">
        <v>0.47628167505669899</v>
      </c>
      <c r="H116">
        <v>2E+20</v>
      </c>
      <c r="I116">
        <v>0</v>
      </c>
      <c r="J116">
        <v>1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13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0.146598355861076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0.91769977116840795</v>
      </c>
      <c r="U116">
        <f>IF((ContinuousStatsTable[[#This Row],[RepsRequested]]&gt;1),ContinuousStatsTable[[#This Row],[HalfWidth]],ContinuousStatsTable[[#This Row],[BatchMeansHalfWidth]])</f>
        <v>0.1575511007238469</v>
      </c>
    </row>
    <row r="117" spans="1:21" x14ac:dyDescent="0.25">
      <c r="A117" t="s">
        <v>67</v>
      </c>
      <c r="B117" t="s">
        <v>107</v>
      </c>
      <c r="C117">
        <v>12</v>
      </c>
      <c r="D117" t="s">
        <v>89</v>
      </c>
      <c r="E117" t="s">
        <v>92</v>
      </c>
      <c r="F117" t="s">
        <v>91</v>
      </c>
      <c r="G117">
        <v>0.95256335011339699</v>
      </c>
      <c r="H117">
        <v>2E+20</v>
      </c>
      <c r="I117">
        <v>0</v>
      </c>
      <c r="J117">
        <v>2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13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0.293196711722152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1.8353995423368199</v>
      </c>
      <c r="U117">
        <f>IF((ContinuousStatsTable[[#This Row],[RepsRequested]]&gt;1),ContinuousStatsTable[[#This Row],[HalfWidth]],ContinuousStatsTable[[#This Row],[BatchMeansHalfWidth]])</f>
        <v>0.31510220144769419</v>
      </c>
    </row>
    <row r="118" spans="1:21" x14ac:dyDescent="0.25">
      <c r="A118" t="s">
        <v>67</v>
      </c>
      <c r="B118" t="s">
        <v>107</v>
      </c>
      <c r="C118">
        <v>12</v>
      </c>
      <c r="D118" t="s">
        <v>89</v>
      </c>
      <c r="E118" t="s">
        <v>93</v>
      </c>
      <c r="F118" t="s">
        <v>91</v>
      </c>
      <c r="G118">
        <v>2</v>
      </c>
      <c r="H118">
        <v>2E+20</v>
      </c>
      <c r="I118">
        <v>2</v>
      </c>
      <c r="J118">
        <v>2</v>
      </c>
      <c r="K118">
        <v>2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13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2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2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2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5">
      <c r="A119" t="s">
        <v>67</v>
      </c>
      <c r="B119" t="s">
        <v>107</v>
      </c>
      <c r="C119">
        <v>12</v>
      </c>
      <c r="D119" t="s">
        <v>94</v>
      </c>
      <c r="E119" t="s">
        <v>90</v>
      </c>
      <c r="F119" t="s">
        <v>91</v>
      </c>
      <c r="G119">
        <v>0.178413744612513</v>
      </c>
      <c r="H119">
        <v>2E+20</v>
      </c>
      <c r="I119">
        <v>0</v>
      </c>
      <c r="J119">
        <v>1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13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0.105150492315538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0.53316656156980802</v>
      </c>
      <c r="U119">
        <f>IF((ContinuousStatsTable[[#This Row],[RepsRequested]]&gt;1),ContinuousStatsTable[[#This Row],[HalfWidth]],ContinuousStatsTable[[#This Row],[BatchMeansHalfWidth]])</f>
        <v>8.4528080832815961E-2</v>
      </c>
    </row>
    <row r="120" spans="1:21" x14ac:dyDescent="0.25">
      <c r="A120" t="s">
        <v>67</v>
      </c>
      <c r="B120" t="s">
        <v>107</v>
      </c>
      <c r="C120">
        <v>12</v>
      </c>
      <c r="D120" t="s">
        <v>94</v>
      </c>
      <c r="E120" t="s">
        <v>92</v>
      </c>
      <c r="F120" t="s">
        <v>91</v>
      </c>
      <c r="G120">
        <v>0.178413744612513</v>
      </c>
      <c r="H120">
        <v>2E+20</v>
      </c>
      <c r="I120">
        <v>0</v>
      </c>
      <c r="J120">
        <v>1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13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0.105150492315538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0.53316656156980802</v>
      </c>
      <c r="U120">
        <f>IF((ContinuousStatsTable[[#This Row],[RepsRequested]]&gt;1),ContinuousStatsTable[[#This Row],[HalfWidth]],ContinuousStatsTable[[#This Row],[BatchMeansHalfWidth]])</f>
        <v>8.4528080832815961E-2</v>
      </c>
    </row>
    <row r="121" spans="1:21" x14ac:dyDescent="0.25">
      <c r="A121" t="s">
        <v>67</v>
      </c>
      <c r="B121" t="s">
        <v>107</v>
      </c>
      <c r="C121">
        <v>12</v>
      </c>
      <c r="D121" t="s">
        <v>94</v>
      </c>
      <c r="E121" t="s">
        <v>93</v>
      </c>
      <c r="F121" t="s">
        <v>91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13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25">
      <c r="A122" t="s">
        <v>67</v>
      </c>
      <c r="B122" t="s">
        <v>107</v>
      </c>
      <c r="C122">
        <v>13</v>
      </c>
      <c r="D122" t="s">
        <v>70</v>
      </c>
      <c r="E122" t="s">
        <v>85</v>
      </c>
      <c r="F122" t="s">
        <v>72</v>
      </c>
      <c r="G122">
        <v>2.5891593014637202</v>
      </c>
      <c r="H122">
        <v>2E+20</v>
      </c>
      <c r="I122">
        <v>0</v>
      </c>
      <c r="J122">
        <v>8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ProjectFresadora.QueueNumber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13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4.0403136140171361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4.0718830504644874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2.4606143009614683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0.215794703892706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14.2341958459241</v>
      </c>
      <c r="U122" s="5">
        <f>IF((ContinuousStatsTable[[#This Row],[RepsRequested]]&gt;1),ContinuousStatsTable[[#This Row],[HalfWidth]],ContinuousStatsTable[[#This Row],[BatchMeansHalfWidth]])</f>
        <v>2.4606143009614683</v>
      </c>
    </row>
    <row r="123" spans="1:21" x14ac:dyDescent="0.25">
      <c r="A123" t="s">
        <v>67</v>
      </c>
      <c r="B123" t="s">
        <v>107</v>
      </c>
      <c r="C123">
        <v>13</v>
      </c>
      <c r="D123" t="s">
        <v>73</v>
      </c>
      <c r="E123" t="s">
        <v>86</v>
      </c>
      <c r="F123" t="s">
        <v>75</v>
      </c>
      <c r="G123">
        <v>4.88273067440789</v>
      </c>
      <c r="H123">
        <v>2E+20</v>
      </c>
      <c r="I123">
        <v>0</v>
      </c>
      <c r="J123">
        <v>14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ProjectItemsWIPEntity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13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0.76491535215578299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17.793092708137898</v>
      </c>
      <c r="U123" s="5">
        <f>IF((ContinuousStatsTable[[#This Row],[RepsRequested]]&gt;1),ContinuousStatsTable[[#This Row],[HalfWidth]],ContinuousStatsTable[[#This Row],[BatchMeansHalfWidth]])</f>
        <v>2.9731441000168419</v>
      </c>
    </row>
    <row r="124" spans="1:21" x14ac:dyDescent="0.25">
      <c r="A124" t="s">
        <v>67</v>
      </c>
      <c r="B124" t="s">
        <v>107</v>
      </c>
      <c r="C124">
        <v>13</v>
      </c>
      <c r="D124" t="s">
        <v>84</v>
      </c>
      <c r="E124" t="s">
        <v>85</v>
      </c>
      <c r="F124" t="s">
        <v>72</v>
      </c>
      <c r="G124">
        <v>0.67542647827396496</v>
      </c>
      <c r="H124">
        <v>2E+20</v>
      </c>
      <c r="I124">
        <v>0</v>
      </c>
      <c r="J124">
        <v>4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ProjectTaladro.QueueNumber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13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0.5642396308570482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0.48788135840657837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0.29482375421631829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0.131443895620979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1.4695242868288101</v>
      </c>
      <c r="U124" s="5">
        <f>IF((ContinuousStatsTable[[#This Row],[RepsRequested]]&gt;1),ContinuousStatsTable[[#This Row],[HalfWidth]],ContinuousStatsTable[[#This Row],[BatchMeansHalfWidth]])</f>
        <v>0.29482375421631829</v>
      </c>
    </row>
    <row r="125" spans="1:21" x14ac:dyDescent="0.25">
      <c r="A125" t="s">
        <v>67</v>
      </c>
      <c r="B125" t="s">
        <v>107</v>
      </c>
      <c r="C125">
        <v>13</v>
      </c>
      <c r="D125" t="s">
        <v>87</v>
      </c>
      <c r="E125" t="s">
        <v>88</v>
      </c>
      <c r="F125" t="s">
        <v>83</v>
      </c>
      <c r="G125">
        <v>4.88273067440789</v>
      </c>
      <c r="H125">
        <v>2E+20</v>
      </c>
      <c r="I125">
        <v>0</v>
      </c>
      <c r="J125">
        <v>14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ProjectTrabajadoresWipTime PersistentUser Specified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13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5.9883645316398173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4.9200295481972205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2.9731441000168419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0.76491535215578299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17.793092708137898</v>
      </c>
      <c r="U125" s="5">
        <f>IF((ContinuousStatsTable[[#This Row],[RepsRequested]]&gt;1),ContinuousStatsTable[[#This Row],[HalfWidth]],ContinuousStatsTable[[#This Row],[BatchMeansHalfWidth]])</f>
        <v>2.9731441000168419</v>
      </c>
    </row>
    <row r="126" spans="1:21" x14ac:dyDescent="0.25">
      <c r="A126" t="s">
        <v>67</v>
      </c>
      <c r="B126" t="s">
        <v>107</v>
      </c>
      <c r="C126">
        <v>13</v>
      </c>
      <c r="D126" t="s">
        <v>89</v>
      </c>
      <c r="E126" t="s">
        <v>90</v>
      </c>
      <c r="F126" t="s">
        <v>91</v>
      </c>
      <c r="G126">
        <v>0.625929991673979</v>
      </c>
      <c r="H126">
        <v>2E+20</v>
      </c>
      <c r="I126">
        <v>0</v>
      </c>
      <c r="J126">
        <v>1</v>
      </c>
      <c r="K126">
        <v>0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ProjectrFresadoraInstantaneous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13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0.5508272599640216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0.26071930751958244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0.1575511007238469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0.146598355861076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0.91769977116840795</v>
      </c>
      <c r="U126" s="5">
        <f>IF((ContinuousStatsTable[[#This Row],[RepsRequested]]&gt;1),ContinuousStatsTable[[#This Row],[HalfWidth]],ContinuousStatsTable[[#This Row],[BatchMeansHalfWidth]])</f>
        <v>0.1575511007238469</v>
      </c>
    </row>
    <row r="127" spans="1:21" x14ac:dyDescent="0.25">
      <c r="A127" t="s">
        <v>67</v>
      </c>
      <c r="B127" t="s">
        <v>107</v>
      </c>
      <c r="C127">
        <v>13</v>
      </c>
      <c r="D127" t="s">
        <v>89</v>
      </c>
      <c r="E127" t="s">
        <v>92</v>
      </c>
      <c r="F127" t="s">
        <v>91</v>
      </c>
      <c r="G127">
        <v>1.25185998334796</v>
      </c>
      <c r="H127">
        <v>2E+20</v>
      </c>
      <c r="I127">
        <v>0</v>
      </c>
      <c r="J127">
        <v>2</v>
      </c>
      <c r="K127">
        <v>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ProjectrFresadoraNumber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13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1.1016545199280432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0.52143861503916544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0.31510220144769419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0.293196711722152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1.8353995423368199</v>
      </c>
      <c r="U127" s="5">
        <f>IF((ContinuousStatsTable[[#This Row],[RepsRequested]]&gt;1),ContinuousStatsTable[[#This Row],[HalfWidth]],ContinuousStatsTable[[#This Row],[BatchMeansHalfWidth]])</f>
        <v>0.31510220144769419</v>
      </c>
    </row>
    <row r="128" spans="1:21" x14ac:dyDescent="0.25">
      <c r="A128" t="s">
        <v>67</v>
      </c>
      <c r="B128" t="s">
        <v>107</v>
      </c>
      <c r="C128">
        <v>13</v>
      </c>
      <c r="D128" t="s">
        <v>89</v>
      </c>
      <c r="E128" t="s">
        <v>93</v>
      </c>
      <c r="F128" t="s">
        <v>91</v>
      </c>
      <c r="G128">
        <v>2</v>
      </c>
      <c r="H128">
        <v>2E+20</v>
      </c>
      <c r="I128">
        <v>2</v>
      </c>
      <c r="J128">
        <v>2</v>
      </c>
      <c r="K128">
        <v>2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ProjectrFresadoraNumber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13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2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25">
      <c r="A129" t="s">
        <v>67</v>
      </c>
      <c r="B129" t="s">
        <v>107</v>
      </c>
      <c r="C129">
        <v>13</v>
      </c>
      <c r="D129" t="s">
        <v>94</v>
      </c>
      <c r="E129" t="s">
        <v>90</v>
      </c>
      <c r="F129" t="s">
        <v>91</v>
      </c>
      <c r="G129">
        <v>0.366284911322244</v>
      </c>
      <c r="H129">
        <v>2E+20</v>
      </c>
      <c r="I129">
        <v>0</v>
      </c>
      <c r="J129">
        <v>1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ProjectrTaladroInstantaneous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13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0.105150492315538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0.53316656156980802</v>
      </c>
      <c r="U129" s="5">
        <f>IF((ContinuousStatsTable[[#This Row],[RepsRequested]]&gt;1),ContinuousStatsTable[[#This Row],[HalfWidth]],ContinuousStatsTable[[#This Row],[BatchMeansHalfWidth]])</f>
        <v>8.4528080832815961E-2</v>
      </c>
    </row>
    <row r="130" spans="1:21" x14ac:dyDescent="0.25">
      <c r="A130" t="s">
        <v>67</v>
      </c>
      <c r="B130" t="s">
        <v>107</v>
      </c>
      <c r="C130">
        <v>13</v>
      </c>
      <c r="D130" t="s">
        <v>94</v>
      </c>
      <c r="E130" t="s">
        <v>92</v>
      </c>
      <c r="F130" t="s">
        <v>91</v>
      </c>
      <c r="G130">
        <v>0.366284911322244</v>
      </c>
      <c r="H130">
        <v>2E+20</v>
      </c>
      <c r="I130">
        <v>0</v>
      </c>
      <c r="J130">
        <v>1</v>
      </c>
      <c r="K130">
        <v>0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ProjectrTaladroNumber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13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0.28215676683758301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0.13987907795908774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8.4528080832815961E-2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0.105150492315538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0.53316656156980802</v>
      </c>
      <c r="U130" s="5">
        <f>IF((ContinuousStatsTable[[#This Row],[RepsRequested]]&gt;1),ContinuousStatsTable[[#This Row],[HalfWidth]],ContinuousStatsTable[[#This Row],[BatchMeansHalfWidth]])</f>
        <v>8.4528080832815961E-2</v>
      </c>
    </row>
    <row r="131" spans="1:21" x14ac:dyDescent="0.25">
      <c r="A131" t="s">
        <v>67</v>
      </c>
      <c r="B131" t="s">
        <v>107</v>
      </c>
      <c r="C131">
        <v>13</v>
      </c>
      <c r="D131" t="s">
        <v>94</v>
      </c>
      <c r="E131" t="s">
        <v>93</v>
      </c>
      <c r="F131" t="s">
        <v>91</v>
      </c>
      <c r="G131">
        <v>1</v>
      </c>
      <c r="H131">
        <v>2E+20</v>
      </c>
      <c r="I131">
        <v>1</v>
      </c>
      <c r="J131">
        <v>1</v>
      </c>
      <c r="K131">
        <v>1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ProjectrTaladroNumber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13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1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1</v>
      </c>
      <c r="U13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31">
    <cfRule type="expression" dxfId="11" priority="9">
      <formula>H2=200000000000000000000</formula>
    </cfRule>
  </conditionalFormatting>
  <conditionalFormatting sqref="H2:H131">
    <cfRule type="expression" dxfId="10" priority="7">
      <formula>H2=300000000000000000000</formula>
    </cfRule>
  </conditionalFormatting>
  <conditionalFormatting sqref="M2:U131">
    <cfRule type="expression" dxfId="9" priority="5">
      <formula>MOD(ROW(),2)=0</formula>
    </cfRule>
  </conditionalFormatting>
  <conditionalFormatting sqref="U2:U13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31 U2:U13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92"/>
  <sheetViews>
    <sheetView workbookViewId="0">
      <selection activeCell="A2" sqref="A2:H31"/>
    </sheetView>
  </sheetViews>
  <sheetFormatPr defaultRowHeight="15" x14ac:dyDescent="0.25"/>
  <cols>
    <col min="1" max="1" width="16.42578125" bestFit="1" customWidth="1"/>
    <col min="2" max="2" width="22.28515625" bestFit="1" customWidth="1"/>
    <col min="3" max="3" width="13.28515625" bestFit="1" customWidth="1"/>
    <col min="4" max="4" width="30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.85546875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67</v>
      </c>
      <c r="B2" t="s">
        <v>107</v>
      </c>
      <c r="C2">
        <v>1</v>
      </c>
      <c r="D2" t="s">
        <v>95</v>
      </c>
      <c r="E2" t="s">
        <v>96</v>
      </c>
      <c r="F2" t="s">
        <v>75</v>
      </c>
      <c r="G2">
        <v>50</v>
      </c>
      <c r="H2">
        <v>0</v>
      </c>
      <c r="I2" t="str">
        <f>OutputTable[[#This Row],[ProjectName]]&amp;OutputTable[[#This Row],[Name]]&amp;OutputTable[[#This Row],[Type]]&amp;OutputTable[[#This Row],[Source]]</f>
        <v>Unnamed ProjectItems.NumberInNumber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13</v>
      </c>
      <c r="K2" cm="1">
        <f t="array" ref="K2">IFERROR(AVERAGE(IF((OutputTable[GroupByKey]=OutputTable[[#This Row],[GroupByKey]]),(OutputTable[GroupByKey]=OutputTable[[#This Row],[GroupByKey]])*OutputTable[RecordedValue])),0)</f>
        <v>38.46153846153846</v>
      </c>
      <c r="L2" cm="1">
        <f t="array" ref="L2">IFERROR(_xlfn.STDEV.S(IF((OutputTable[GroupByKey]=OutputTable[[#This Row],[GroupByKey]]),(OutputTable[GroupByKey]=OutputTable[[#This Row],[GroupByKey]])*OutputTable[RecordedValue])),0)</f>
        <v>21.543039806456381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2" cm="1">
        <f t="array" ref="O2">MIN(IF((OutputTable[GroupByKey]=OutputTable[[#This Row],[GroupByKey]]),(OutputTable[GroupByKey]=OutputTable[[#This Row],[GroupByKey]])*OutputTable[RecordedValue]))</f>
        <v>10</v>
      </c>
      <c r="P2" cm="1">
        <f t="array" ref="P2">MAX(IF((OutputTable[GroupByKey]=OutputTable[[#This Row],[GroupByKey]]),(OutputTable[GroupByKey]=OutputTable[[#This Row],[GroupByKey]])*OutputTable[RecordedValue]))</f>
        <v>70</v>
      </c>
    </row>
    <row r="3" spans="1:16" x14ac:dyDescent="0.25">
      <c r="A3" t="s">
        <v>67</v>
      </c>
      <c r="B3" t="s">
        <v>107</v>
      </c>
      <c r="C3">
        <v>1</v>
      </c>
      <c r="D3" t="s">
        <v>97</v>
      </c>
      <c r="E3" t="s">
        <v>98</v>
      </c>
      <c r="F3" t="s">
        <v>75</v>
      </c>
      <c r="G3">
        <v>45</v>
      </c>
      <c r="H3">
        <v>0</v>
      </c>
      <c r="I3" t="str">
        <f>OutputTable[[#This Row],[ProjectName]]&amp;OutputTable[[#This Row],[Name]]&amp;OutputTable[[#This Row],[Type]]&amp;OutputTable[[#This Row],[Source]]</f>
        <v>Unnamed ProjectItems.NumberOutNumber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13</v>
      </c>
      <c r="K3" cm="1">
        <f t="array" ref="K3">IFERROR(AVERAGE(IF((OutputTable[GroupByKey]=OutputTable[[#This Row],[GroupByKey]]),(OutputTable[GroupByKey]=OutputTable[[#This Row],[GroupByKey]])*OutputTable[RecordedValue])),0)</f>
        <v>31.76923076923077</v>
      </c>
      <c r="L3" cm="1">
        <f t="array" ref="L3">IFERROR(_xlfn.STDEV.S(IF((OutputTable[GroupByKey]=OutputTable[[#This Row],[GroupByKey]]),(OutputTable[GroupByKey]=OutputTable[[#This Row],[GroupByKey]])*OutputTable[RecordedValue])),0)</f>
        <v>15.932952468358597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3" cm="1">
        <f t="array" ref="O3">MIN(IF((OutputTable[GroupByKey]=OutputTable[[#This Row],[GroupByKey]]),(OutputTable[GroupByKey]=OutputTable[[#This Row],[GroupByKey]])*OutputTable[RecordedValue]))</f>
        <v>10</v>
      </c>
      <c r="P3" cm="1">
        <f t="array" ref="P3">MAX(IF((OutputTable[GroupByKey]=OutputTable[[#This Row],[GroupByKey]]),(OutputTable[GroupByKey]=OutputTable[[#This Row],[GroupByKey]])*OutputTable[RecordedValue]))</f>
        <v>60</v>
      </c>
    </row>
    <row r="4" spans="1:16" x14ac:dyDescent="0.25">
      <c r="A4" t="s">
        <v>67</v>
      </c>
      <c r="B4" t="s">
        <v>107</v>
      </c>
      <c r="C4">
        <v>1</v>
      </c>
      <c r="D4" t="s">
        <v>99</v>
      </c>
      <c r="E4" t="s">
        <v>98</v>
      </c>
      <c r="F4" t="s">
        <v>100</v>
      </c>
      <c r="G4">
        <v>45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13</v>
      </c>
      <c r="K4" cm="1">
        <f t="array" ref="K4">IFERROR(AVERAGE(IF((OutputTable[GroupByKey]=OutputTable[[#This Row],[GroupByKey]]),(OutputTable[GroupByKey]=OutputTable[[#This Row],[GroupByKey]])*OutputTable[RecordedValue])),0)</f>
        <v>31.76923076923077</v>
      </c>
      <c r="L4" cm="1">
        <f t="array" ref="L4">IFERROR(_xlfn.STDEV.S(IF((OutputTable[GroupByKey]=OutputTable[[#This Row],[GroupByKey]]),(OutputTable[GroupByKey]=OutputTable[[#This Row],[GroupByKey]])*OutputTable[RecordedValue])),0)</f>
        <v>15.932952468358597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4" cm="1">
        <f t="array" ref="O4">MIN(IF((OutputTable[GroupByKey]=OutputTable[[#This Row],[GroupByKey]]),(OutputTable[GroupByKey]=OutputTable[[#This Row],[GroupByKey]])*OutputTable[RecordedValue]))</f>
        <v>10</v>
      </c>
      <c r="P4" cm="1">
        <f t="array" ref="P4">MAX(IF((OutputTable[GroupByKey]=OutputTable[[#This Row],[GroupByKey]]),(OutputTable[GroupByKey]=OutputTable[[#This Row],[GroupByKey]])*OutputTable[RecordedValue]))</f>
        <v>60</v>
      </c>
    </row>
    <row r="5" spans="1:16" x14ac:dyDescent="0.25">
      <c r="A5" t="s">
        <v>67</v>
      </c>
      <c r="B5" t="s">
        <v>107</v>
      </c>
      <c r="C5">
        <v>1</v>
      </c>
      <c r="D5" t="s">
        <v>101</v>
      </c>
      <c r="E5" t="s">
        <v>102</v>
      </c>
      <c r="F5" t="s">
        <v>91</v>
      </c>
      <c r="G5">
        <v>47</v>
      </c>
      <c r="H5">
        <v>0</v>
      </c>
      <c r="I5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13</v>
      </c>
      <c r="K5" cm="1">
        <f t="array" ref="K5">IFERROR(AVERAGE(IF((OutputTable[GroupByKey]=OutputTable[[#This Row],[GroupByKey]]),(OutputTable[GroupByKey]=OutputTable[[#This Row],[GroupByKey]])*OutputTable[RecordedValue])),0)</f>
        <v>32.692307692307693</v>
      </c>
      <c r="L5" cm="1">
        <f t="array" ref="L5">IFERROR(_xlfn.STDEV.S(IF((OutputTable[GroupByKey]=OutputTable[[#This Row],[GroupByKey]]),(OutputTable[GroupByKey]=OutputTable[[#This Row],[GroupByKey]])*OutputTable[RecordedValue])),0)</f>
        <v>16.504467149757847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5" cm="1">
        <f t="array" ref="O5">MIN(IF((OutputTable[GroupByKey]=OutputTable[[#This Row],[GroupByKey]]),(OutputTable[GroupByKey]=OutputTable[[#This Row],[GroupByKey]])*OutputTable[RecordedValue]))</f>
        <v>10</v>
      </c>
      <c r="P5" cm="1">
        <f t="array" ref="P5">MAX(IF((OutputTable[GroupByKey]=OutputTable[[#This Row],[GroupByKey]]),(OutputTable[GroupByKey]=OutputTable[[#This Row],[GroupByKey]])*OutputTable[RecordedValue]))</f>
        <v>60</v>
      </c>
    </row>
    <row r="6" spans="1:16" x14ac:dyDescent="0.25">
      <c r="A6" t="s">
        <v>67</v>
      </c>
      <c r="B6" t="s">
        <v>107</v>
      </c>
      <c r="C6">
        <v>1</v>
      </c>
      <c r="D6" t="s">
        <v>103</v>
      </c>
      <c r="E6" t="s">
        <v>104</v>
      </c>
      <c r="F6" t="s">
        <v>91</v>
      </c>
      <c r="G6">
        <v>0.78540458648547895</v>
      </c>
      <c r="H6">
        <v>0</v>
      </c>
      <c r="I6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13</v>
      </c>
      <c r="K6" cm="1">
        <f t="array" ref="K6">IFERROR(AVERAGE(IF((OutputTable[GroupByKey]=OutputTable[[#This Row],[GroupByKey]]),(OutputTable[GroupByKey]=OutputTable[[#This Row],[GroupByKey]])*OutputTable[RecordedValue])),0)</f>
        <v>0.5508272599640216</v>
      </c>
      <c r="L6" cm="1">
        <f t="array" ref="L6">IFERROR(_xlfn.STDEV.S(IF((OutputTable[GroupByKey]=OutputTable[[#This Row],[GroupByKey]]),(OutputTable[GroupByKey]=OutputTable[[#This Row],[GroupByKey]])*OutputTable[RecordedValue])),0)</f>
        <v>0.26071930751958244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6" cm="1">
        <f t="array" ref="O6">MIN(IF((OutputTable[GroupByKey]=OutputTable[[#This Row],[GroupByKey]]),(OutputTable[GroupByKey]=OutputTable[[#This Row],[GroupByKey]])*OutputTable[RecordedValue]))</f>
        <v>0.146598355861076</v>
      </c>
      <c r="P6" cm="1">
        <f t="array" ref="P6">MAX(IF((OutputTable[GroupByKey]=OutputTable[[#This Row],[GroupByKey]]),(OutputTable[GroupByKey]=OutputTable[[#This Row],[GroupByKey]])*OutputTable[RecordedValue]))</f>
        <v>0.91769977116840795</v>
      </c>
    </row>
    <row r="7" spans="1:16" x14ac:dyDescent="0.25">
      <c r="A7" t="s">
        <v>67</v>
      </c>
      <c r="B7" t="s">
        <v>107</v>
      </c>
      <c r="C7">
        <v>1</v>
      </c>
      <c r="D7" t="s">
        <v>105</v>
      </c>
      <c r="E7" t="s">
        <v>102</v>
      </c>
      <c r="F7" t="s">
        <v>91</v>
      </c>
      <c r="G7">
        <v>16</v>
      </c>
      <c r="H7">
        <v>0</v>
      </c>
      <c r="I7" t="str">
        <f>OutputTable[[#This Row],[ProjectName]]&amp;OutputTable[[#This Row],[Name]]&amp;OutputTable[[#This Row],[Type]]&amp;OutputTable[[#This Row],[Source]]</f>
        <v>Unnamed ProjectrTaladro.NumberSeizedTotal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13</v>
      </c>
      <c r="K7" cm="1">
        <f t="array" ref="K7">IFERROR(AVERAGE(IF((OutputTable[GroupByKey]=OutputTable[[#This Row],[GroupByKey]]),(OutputTable[GroupByKey]=OutputTable[[#This Row],[GroupByKey]])*OutputTable[RecordedValue])),0)</f>
        <v>11.153846153846153</v>
      </c>
      <c r="L7" cm="1">
        <f t="array" ref="L7">IFERROR(_xlfn.STDEV.S(IF((OutputTable[GroupByKey]=OutputTable[[#This Row],[GroupByKey]]),(OutputTable[GroupByKey]=OutputTable[[#This Row],[GroupByKey]])*OutputTable[RecordedValue])),0)</f>
        <v>5.6693055695583769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7" cm="1">
        <f t="array" ref="O7">MIN(IF((OutputTable[GroupByKey]=OutputTable[[#This Row],[GroupByKey]]),(OutputTable[GroupByKey]=OutputTable[[#This Row],[GroupByKey]])*OutputTable[RecordedValue]))</f>
        <v>4</v>
      </c>
      <c r="P7" cm="1">
        <f t="array" ref="P7">MAX(IF((OutputTable[GroupByKey]=OutputTable[[#This Row],[GroupByKey]]),(OutputTable[GroupByKey]=OutputTable[[#This Row],[GroupByKey]])*OutputTable[RecordedValue]))</f>
        <v>22</v>
      </c>
    </row>
    <row r="8" spans="1:16" x14ac:dyDescent="0.25">
      <c r="A8" t="s">
        <v>67</v>
      </c>
      <c r="B8" t="s">
        <v>107</v>
      </c>
      <c r="C8">
        <v>1</v>
      </c>
      <c r="D8" t="s">
        <v>106</v>
      </c>
      <c r="E8" t="s">
        <v>104</v>
      </c>
      <c r="F8" t="s">
        <v>91</v>
      </c>
      <c r="G8">
        <v>0.39554493241189598</v>
      </c>
      <c r="H8">
        <v>0</v>
      </c>
      <c r="I8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13</v>
      </c>
      <c r="K8" cm="1">
        <f t="array" ref="K8">IFERROR(AVERAGE(IF((OutputTable[GroupByKey]=OutputTable[[#This Row],[GroupByKey]]),(OutputTable[GroupByKey]=OutputTable[[#This Row],[GroupByKey]])*OutputTable[RecordedValue])),0)</f>
        <v>0.28215676683758301</v>
      </c>
      <c r="L8" cm="1">
        <f t="array" ref="L8">IFERROR(_xlfn.STDEV.S(IF((OutputTable[GroupByKey]=OutputTable[[#This Row],[GroupByKey]]),(OutputTable[GroupByKey]=OutputTable[[#This Row],[GroupByKey]])*OutputTable[RecordedValue])),0)</f>
        <v>0.13987907795908774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8" cm="1">
        <f t="array" ref="O8">MIN(IF((OutputTable[GroupByKey]=OutputTable[[#This Row],[GroupByKey]]),(OutputTable[GroupByKey]=OutputTable[[#This Row],[GroupByKey]])*OutputTable[RecordedValue]))</f>
        <v>0.105150492315538</v>
      </c>
      <c r="P8" cm="1">
        <f t="array" ref="P8">MAX(IF((OutputTable[GroupByKey]=OutputTable[[#This Row],[GroupByKey]]),(OutputTable[GroupByKey]=OutputTable[[#This Row],[GroupByKey]])*OutputTable[RecordedValue]))</f>
        <v>0.53316656156980802</v>
      </c>
    </row>
    <row r="9" spans="1:16" x14ac:dyDescent="0.25">
      <c r="A9" t="s">
        <v>67</v>
      </c>
      <c r="B9" t="s">
        <v>107</v>
      </c>
      <c r="C9">
        <v>2</v>
      </c>
      <c r="D9" t="s">
        <v>95</v>
      </c>
      <c r="E9" t="s">
        <v>96</v>
      </c>
      <c r="F9" t="s">
        <v>75</v>
      </c>
      <c r="G9">
        <v>40</v>
      </c>
      <c r="H9">
        <v>0</v>
      </c>
      <c r="I9" t="str">
        <f>OutputTable[[#This Row],[ProjectName]]&amp;OutputTable[[#This Row],[Name]]&amp;OutputTable[[#This Row],[Type]]&amp;OutputTable[[#This Row],[Source]]</f>
        <v>Unnamed ProjectItems.NumberInNumber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13</v>
      </c>
      <c r="K9" cm="1">
        <f t="array" ref="K9">IFERROR(AVERAGE(IF((OutputTable[GroupByKey]=OutputTable[[#This Row],[GroupByKey]]),(OutputTable[GroupByKey]=OutputTable[[#This Row],[GroupByKey]])*OutputTable[RecordedValue])),0)</f>
        <v>38.46153846153846</v>
      </c>
      <c r="L9" cm="1">
        <f t="array" ref="L9">IFERROR(_xlfn.STDEV.S(IF((OutputTable[GroupByKey]=OutputTable[[#This Row],[GroupByKey]]),(OutputTable[GroupByKey]=OutputTable[[#This Row],[GroupByKey]])*OutputTable[RecordedValue])),0)</f>
        <v>21.543039806456381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9" cm="1">
        <f t="array" ref="O9">MIN(IF((OutputTable[GroupByKey]=OutputTable[[#This Row],[GroupByKey]]),(OutputTable[GroupByKey]=OutputTable[[#This Row],[GroupByKey]])*OutputTable[RecordedValue]))</f>
        <v>10</v>
      </c>
      <c r="P9" cm="1">
        <f t="array" ref="P9">MAX(IF((OutputTable[GroupByKey]=OutputTable[[#This Row],[GroupByKey]]),(OutputTable[GroupByKey]=OutputTable[[#This Row],[GroupByKey]])*OutputTable[RecordedValue]))</f>
        <v>70</v>
      </c>
    </row>
    <row r="10" spans="1:16" x14ac:dyDescent="0.25">
      <c r="A10" t="s">
        <v>67</v>
      </c>
      <c r="B10" t="s">
        <v>107</v>
      </c>
      <c r="C10">
        <v>2</v>
      </c>
      <c r="D10" t="s">
        <v>97</v>
      </c>
      <c r="E10" t="s">
        <v>98</v>
      </c>
      <c r="F10" t="s">
        <v>75</v>
      </c>
      <c r="G10">
        <v>35</v>
      </c>
      <c r="H10">
        <v>0</v>
      </c>
      <c r="I10" t="str">
        <f>OutputTable[[#This Row],[ProjectName]]&amp;OutputTable[[#This Row],[Name]]&amp;OutputTable[[#This Row],[Type]]&amp;OutputTable[[#This Row],[Source]]</f>
        <v>Unnamed ProjectItems.NumberOutNumber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13</v>
      </c>
      <c r="K10" cm="1">
        <f t="array" ref="K10">IFERROR(AVERAGE(IF((OutputTable[GroupByKey]=OutputTable[[#This Row],[GroupByKey]]),(OutputTable[GroupByKey]=OutputTable[[#This Row],[GroupByKey]])*OutputTable[RecordedValue])),0)</f>
        <v>31.76923076923077</v>
      </c>
      <c r="L10" cm="1">
        <f t="array" ref="L10">IFERROR(_xlfn.STDEV.S(IF((OutputTable[GroupByKey]=OutputTable[[#This Row],[GroupByKey]]),(OutputTable[GroupByKey]=OutputTable[[#This Row],[GroupByKey]])*OutputTable[RecordedValue])),0)</f>
        <v>15.932952468358597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10" cm="1">
        <f t="array" ref="O10">MIN(IF((OutputTable[GroupByKey]=OutputTable[[#This Row],[GroupByKey]]),(OutputTable[GroupByKey]=OutputTable[[#This Row],[GroupByKey]])*OutputTable[RecordedValue]))</f>
        <v>10</v>
      </c>
      <c r="P10" cm="1">
        <f t="array" ref="P10">MAX(IF((OutputTable[GroupByKey]=OutputTable[[#This Row],[GroupByKey]]),(OutputTable[GroupByKey]=OutputTable[[#This Row],[GroupByKey]])*OutputTable[RecordedValue]))</f>
        <v>60</v>
      </c>
    </row>
    <row r="11" spans="1:16" x14ac:dyDescent="0.25">
      <c r="A11" t="s">
        <v>67</v>
      </c>
      <c r="B11" t="s">
        <v>107</v>
      </c>
      <c r="C11">
        <v>2</v>
      </c>
      <c r="D11" t="s">
        <v>99</v>
      </c>
      <c r="E11" t="s">
        <v>98</v>
      </c>
      <c r="F11" t="s">
        <v>100</v>
      </c>
      <c r="G11">
        <v>35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13</v>
      </c>
      <c r="K11" cm="1">
        <f t="array" ref="K11">IFERROR(AVERAGE(IF((OutputTable[GroupByKey]=OutputTable[[#This Row],[GroupByKey]]),(OutputTable[GroupByKey]=OutputTable[[#This Row],[GroupByKey]])*OutputTable[RecordedValue])),0)</f>
        <v>31.76923076923077</v>
      </c>
      <c r="L11" cm="1">
        <f t="array" ref="L11">IFERROR(_xlfn.STDEV.S(IF((OutputTable[GroupByKey]=OutputTable[[#This Row],[GroupByKey]]),(OutputTable[GroupByKey]=OutputTable[[#This Row],[GroupByKey]])*OutputTable[RecordedValue])),0)</f>
        <v>15.932952468358597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11" cm="1">
        <f t="array" ref="O11">MIN(IF((OutputTable[GroupByKey]=OutputTable[[#This Row],[GroupByKey]]),(OutputTable[GroupByKey]=OutputTable[[#This Row],[GroupByKey]])*OutputTable[RecordedValue]))</f>
        <v>10</v>
      </c>
      <c r="P11" cm="1">
        <f t="array" ref="P11">MAX(IF((OutputTable[GroupByKey]=OutputTable[[#This Row],[GroupByKey]]),(OutputTable[GroupByKey]=OutputTable[[#This Row],[GroupByKey]])*OutputTable[RecordedValue]))</f>
        <v>60</v>
      </c>
    </row>
    <row r="12" spans="1:16" x14ac:dyDescent="0.25">
      <c r="A12" t="s">
        <v>67</v>
      </c>
      <c r="B12" t="s">
        <v>107</v>
      </c>
      <c r="C12">
        <v>2</v>
      </c>
      <c r="D12" t="s">
        <v>101</v>
      </c>
      <c r="E12" t="s">
        <v>102</v>
      </c>
      <c r="F12" t="s">
        <v>91</v>
      </c>
      <c r="G12">
        <v>37</v>
      </c>
      <c r="H12">
        <v>0</v>
      </c>
      <c r="I12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13</v>
      </c>
      <c r="K12" cm="1">
        <f t="array" ref="K12">IFERROR(AVERAGE(IF((OutputTable[GroupByKey]=OutputTable[[#This Row],[GroupByKey]]),(OutputTable[GroupByKey]=OutputTable[[#This Row],[GroupByKey]])*OutputTable[RecordedValue])),0)</f>
        <v>32.692307692307693</v>
      </c>
      <c r="L12" cm="1">
        <f t="array" ref="L12">IFERROR(_xlfn.STDEV.S(IF((OutputTable[GroupByKey]=OutputTable[[#This Row],[GroupByKey]]),(OutputTable[GroupByKey]=OutputTable[[#This Row],[GroupByKey]])*OutputTable[RecordedValue])),0)</f>
        <v>16.504467149757847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12" cm="1">
        <f t="array" ref="O12">MIN(IF((OutputTable[GroupByKey]=OutputTable[[#This Row],[GroupByKey]]),(OutputTable[GroupByKey]=OutputTable[[#This Row],[GroupByKey]])*OutputTable[RecordedValue]))</f>
        <v>10</v>
      </c>
      <c r="P12" cm="1">
        <f t="array" ref="P12">MAX(IF((OutputTable[GroupByKey]=OutputTable[[#This Row],[GroupByKey]]),(OutputTable[GroupByKey]=OutputTable[[#This Row],[GroupByKey]])*OutputTable[RecordedValue]))</f>
        <v>60</v>
      </c>
    </row>
    <row r="13" spans="1:16" x14ac:dyDescent="0.25">
      <c r="A13" t="s">
        <v>67</v>
      </c>
      <c r="B13" t="s">
        <v>107</v>
      </c>
      <c r="C13">
        <v>2</v>
      </c>
      <c r="D13" t="s">
        <v>103</v>
      </c>
      <c r="E13" t="s">
        <v>104</v>
      </c>
      <c r="F13" t="s">
        <v>91</v>
      </c>
      <c r="G13">
        <v>0.56306843005182206</v>
      </c>
      <c r="H13">
        <v>0</v>
      </c>
      <c r="I13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13</v>
      </c>
      <c r="K13" cm="1">
        <f t="array" ref="K13">IFERROR(AVERAGE(IF((OutputTable[GroupByKey]=OutputTable[[#This Row],[GroupByKey]]),(OutputTable[GroupByKey]=OutputTable[[#This Row],[GroupByKey]])*OutputTable[RecordedValue])),0)</f>
        <v>0.5508272599640216</v>
      </c>
      <c r="L13" cm="1">
        <f t="array" ref="L13">IFERROR(_xlfn.STDEV.S(IF((OutputTable[GroupByKey]=OutputTable[[#This Row],[GroupByKey]]),(OutputTable[GroupByKey]=OutputTable[[#This Row],[GroupByKey]])*OutputTable[RecordedValue])),0)</f>
        <v>0.26071930751958244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13" cm="1">
        <f t="array" ref="O13">MIN(IF((OutputTable[GroupByKey]=OutputTable[[#This Row],[GroupByKey]]),(OutputTable[GroupByKey]=OutputTable[[#This Row],[GroupByKey]])*OutputTable[RecordedValue]))</f>
        <v>0.146598355861076</v>
      </c>
      <c r="P13" cm="1">
        <f t="array" ref="P13">MAX(IF((OutputTable[GroupByKey]=OutputTable[[#This Row],[GroupByKey]]),(OutputTable[GroupByKey]=OutputTable[[#This Row],[GroupByKey]])*OutputTable[RecordedValue]))</f>
        <v>0.91769977116840795</v>
      </c>
    </row>
    <row r="14" spans="1:16" x14ac:dyDescent="0.25">
      <c r="A14" t="s">
        <v>67</v>
      </c>
      <c r="B14" t="s">
        <v>107</v>
      </c>
      <c r="C14">
        <v>2</v>
      </c>
      <c r="D14" t="s">
        <v>105</v>
      </c>
      <c r="E14" t="s">
        <v>102</v>
      </c>
      <c r="F14" t="s">
        <v>91</v>
      </c>
      <c r="G14">
        <v>13</v>
      </c>
      <c r="H14">
        <v>0</v>
      </c>
      <c r="I14" t="str">
        <f>OutputTable[[#This Row],[ProjectName]]&amp;OutputTable[[#This Row],[Name]]&amp;OutputTable[[#This Row],[Type]]&amp;OutputTable[[#This Row],[Source]]</f>
        <v>Unnamed ProjectrTaladro.NumberSeizedTotal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13</v>
      </c>
      <c r="K14" cm="1">
        <f t="array" ref="K14">IFERROR(AVERAGE(IF((OutputTable[GroupByKey]=OutputTable[[#This Row],[GroupByKey]]),(OutputTable[GroupByKey]=OutputTable[[#This Row],[GroupByKey]])*OutputTable[RecordedValue])),0)</f>
        <v>11.153846153846153</v>
      </c>
      <c r="L14" cm="1">
        <f t="array" ref="L14">IFERROR(_xlfn.STDEV.S(IF((OutputTable[GroupByKey]=OutputTable[[#This Row],[GroupByKey]]),(OutputTable[GroupByKey]=OutputTable[[#This Row],[GroupByKey]])*OutputTable[RecordedValue])),0)</f>
        <v>5.6693055695583769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14" cm="1">
        <f t="array" ref="O14">MIN(IF((OutputTable[GroupByKey]=OutputTable[[#This Row],[GroupByKey]]),(OutputTable[GroupByKey]=OutputTable[[#This Row],[GroupByKey]])*OutputTable[RecordedValue]))</f>
        <v>4</v>
      </c>
      <c r="P14" cm="1">
        <f t="array" ref="P14">MAX(IF((OutputTable[GroupByKey]=OutputTable[[#This Row],[GroupByKey]]),(OutputTable[GroupByKey]=OutputTable[[#This Row],[GroupByKey]])*OutputTable[RecordedValue]))</f>
        <v>22</v>
      </c>
    </row>
    <row r="15" spans="1:16" x14ac:dyDescent="0.25">
      <c r="A15" t="s">
        <v>67</v>
      </c>
      <c r="B15" t="s">
        <v>107</v>
      </c>
      <c r="C15">
        <v>2</v>
      </c>
      <c r="D15" t="s">
        <v>106</v>
      </c>
      <c r="E15" t="s">
        <v>104</v>
      </c>
      <c r="F15" t="s">
        <v>91</v>
      </c>
      <c r="G15">
        <v>0.33684612724144403</v>
      </c>
      <c r="H15">
        <v>0</v>
      </c>
      <c r="I15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13</v>
      </c>
      <c r="K15" cm="1">
        <f t="array" ref="K15">IFERROR(AVERAGE(IF((OutputTable[GroupByKey]=OutputTable[[#This Row],[GroupByKey]]),(OutputTable[GroupByKey]=OutputTable[[#This Row],[GroupByKey]])*OutputTable[RecordedValue])),0)</f>
        <v>0.28215676683758301</v>
      </c>
      <c r="L15" cm="1">
        <f t="array" ref="L15">IFERROR(_xlfn.STDEV.S(IF((OutputTable[GroupByKey]=OutputTable[[#This Row],[GroupByKey]]),(OutputTable[GroupByKey]=OutputTable[[#This Row],[GroupByKey]])*OutputTable[RecordedValue])),0)</f>
        <v>0.13987907795908774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15" cm="1">
        <f t="array" ref="O15">MIN(IF((OutputTable[GroupByKey]=OutputTable[[#This Row],[GroupByKey]]),(OutputTable[GroupByKey]=OutputTable[[#This Row],[GroupByKey]])*OutputTable[RecordedValue]))</f>
        <v>0.105150492315538</v>
      </c>
      <c r="P15" cm="1">
        <f t="array" ref="P15">MAX(IF((OutputTable[GroupByKey]=OutputTable[[#This Row],[GroupByKey]]),(OutputTable[GroupByKey]=OutputTable[[#This Row],[GroupByKey]])*OutputTable[RecordedValue]))</f>
        <v>0.53316656156980802</v>
      </c>
    </row>
    <row r="16" spans="1:16" x14ac:dyDescent="0.25">
      <c r="A16" t="s">
        <v>67</v>
      </c>
      <c r="B16" t="s">
        <v>107</v>
      </c>
      <c r="C16">
        <v>3</v>
      </c>
      <c r="D16" t="s">
        <v>95</v>
      </c>
      <c r="E16" t="s">
        <v>96</v>
      </c>
      <c r="F16" t="s">
        <v>75</v>
      </c>
      <c r="G16">
        <v>60</v>
      </c>
      <c r="H16">
        <v>0</v>
      </c>
      <c r="I16" t="str">
        <f>OutputTable[[#This Row],[ProjectName]]&amp;OutputTable[[#This Row],[Name]]&amp;OutputTable[[#This Row],[Type]]&amp;OutputTable[[#This Row],[Source]]</f>
        <v>Unnamed ProjectItems.NumberInNumber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13</v>
      </c>
      <c r="K16" cm="1">
        <f t="array" ref="K16">IFERROR(AVERAGE(IF((OutputTable[GroupByKey]=OutputTable[[#This Row],[GroupByKey]]),(OutputTable[GroupByKey]=OutputTable[[#This Row],[GroupByKey]])*OutputTable[RecordedValue])),0)</f>
        <v>38.46153846153846</v>
      </c>
      <c r="L16" cm="1">
        <f t="array" ref="L16">IFERROR(_xlfn.STDEV.S(IF((OutputTable[GroupByKey]=OutputTable[[#This Row],[GroupByKey]]),(OutputTable[GroupByKey]=OutputTable[[#This Row],[GroupByKey]])*OutputTable[RecordedValue])),0)</f>
        <v>21.543039806456381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16" cm="1">
        <f t="array" ref="O16">MIN(IF((OutputTable[GroupByKey]=OutputTable[[#This Row],[GroupByKey]]),(OutputTable[GroupByKey]=OutputTable[[#This Row],[GroupByKey]])*OutputTable[RecordedValue]))</f>
        <v>10</v>
      </c>
      <c r="P16" cm="1">
        <f t="array" ref="P16">MAX(IF((OutputTable[GroupByKey]=OutputTable[[#This Row],[GroupByKey]]),(OutputTable[GroupByKey]=OutputTable[[#This Row],[GroupByKey]])*OutputTable[RecordedValue]))</f>
        <v>70</v>
      </c>
    </row>
    <row r="17" spans="1:16" x14ac:dyDescent="0.25">
      <c r="A17" t="s">
        <v>67</v>
      </c>
      <c r="B17" t="s">
        <v>107</v>
      </c>
      <c r="C17">
        <v>3</v>
      </c>
      <c r="D17" t="s">
        <v>97</v>
      </c>
      <c r="E17" t="s">
        <v>98</v>
      </c>
      <c r="F17" t="s">
        <v>75</v>
      </c>
      <c r="G17">
        <v>60</v>
      </c>
      <c r="H17">
        <v>0</v>
      </c>
      <c r="I17" t="str">
        <f>OutputTable[[#This Row],[ProjectName]]&amp;OutputTable[[#This Row],[Name]]&amp;OutputTable[[#This Row],[Type]]&amp;OutputTable[[#This Row],[Source]]</f>
        <v>Unnamed ProjectItems.NumberOutNumber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13</v>
      </c>
      <c r="K17" cm="1">
        <f t="array" ref="K17">IFERROR(AVERAGE(IF((OutputTable[GroupByKey]=OutputTable[[#This Row],[GroupByKey]]),(OutputTable[GroupByKey]=OutputTable[[#This Row],[GroupByKey]])*OutputTable[RecordedValue])),0)</f>
        <v>31.76923076923077</v>
      </c>
      <c r="L17" cm="1">
        <f t="array" ref="L17">IFERROR(_xlfn.STDEV.S(IF((OutputTable[GroupByKey]=OutputTable[[#This Row],[GroupByKey]]),(OutputTable[GroupByKey]=OutputTable[[#This Row],[GroupByKey]])*OutputTable[RecordedValue])),0)</f>
        <v>15.932952468358597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17" cm="1">
        <f t="array" ref="O17">MIN(IF((OutputTable[GroupByKey]=OutputTable[[#This Row],[GroupByKey]]),(OutputTable[GroupByKey]=OutputTable[[#This Row],[GroupByKey]])*OutputTable[RecordedValue]))</f>
        <v>10</v>
      </c>
      <c r="P17" cm="1">
        <f t="array" ref="P17">MAX(IF((OutputTable[GroupByKey]=OutputTable[[#This Row],[GroupByKey]]),(OutputTable[GroupByKey]=OutputTable[[#This Row],[GroupByKey]])*OutputTable[RecordedValue]))</f>
        <v>60</v>
      </c>
    </row>
    <row r="18" spans="1:16" x14ac:dyDescent="0.25">
      <c r="A18" t="s">
        <v>67</v>
      </c>
      <c r="B18" t="s">
        <v>107</v>
      </c>
      <c r="C18">
        <v>3</v>
      </c>
      <c r="D18" t="s">
        <v>99</v>
      </c>
      <c r="E18" t="s">
        <v>98</v>
      </c>
      <c r="F18" t="s">
        <v>100</v>
      </c>
      <c r="G18">
        <v>60</v>
      </c>
      <c r="H18">
        <v>0</v>
      </c>
      <c r="I18" t="str">
        <f>OutputTable[[#This Row],[ProjectName]]&amp;OutputTable[[#This Row],[Name]]&amp;OutputTable[[#This Row],[Type]]&amp;OutputTable[[#This Row],[Source]]</f>
        <v>Unnamed ProjectSystem.NumberOutNumber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13</v>
      </c>
      <c r="K18" cm="1">
        <f t="array" ref="K18">IFERROR(AVERAGE(IF((OutputTable[GroupByKey]=OutputTable[[#This Row],[GroupByKey]]),(OutputTable[GroupByKey]=OutputTable[[#This Row],[GroupByKey]])*OutputTable[RecordedValue])),0)</f>
        <v>31.76923076923077</v>
      </c>
      <c r="L18" cm="1">
        <f t="array" ref="L18">IFERROR(_xlfn.STDEV.S(IF((OutputTable[GroupByKey]=OutputTable[[#This Row],[GroupByKey]]),(OutputTable[GroupByKey]=OutputTable[[#This Row],[GroupByKey]])*OutputTable[RecordedValue])),0)</f>
        <v>15.932952468358597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18" cm="1">
        <f t="array" ref="O18">MIN(IF((OutputTable[GroupByKey]=OutputTable[[#This Row],[GroupByKey]]),(OutputTable[GroupByKey]=OutputTable[[#This Row],[GroupByKey]])*OutputTable[RecordedValue]))</f>
        <v>10</v>
      </c>
      <c r="P18" cm="1">
        <f t="array" ref="P18">MAX(IF((OutputTable[GroupByKey]=OutputTable[[#This Row],[GroupByKey]]),(OutputTable[GroupByKey]=OutputTable[[#This Row],[GroupByKey]])*OutputTable[RecordedValue]))</f>
        <v>60</v>
      </c>
    </row>
    <row r="19" spans="1:16" x14ac:dyDescent="0.25">
      <c r="A19" t="s">
        <v>67</v>
      </c>
      <c r="B19" t="s">
        <v>107</v>
      </c>
      <c r="C19">
        <v>3</v>
      </c>
      <c r="D19" t="s">
        <v>101</v>
      </c>
      <c r="E19" t="s">
        <v>102</v>
      </c>
      <c r="F19" t="s">
        <v>91</v>
      </c>
      <c r="G19">
        <v>60</v>
      </c>
      <c r="H19">
        <v>0</v>
      </c>
      <c r="I19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13</v>
      </c>
      <c r="K19" cm="1">
        <f t="array" ref="K19">IFERROR(AVERAGE(IF((OutputTable[GroupByKey]=OutputTable[[#This Row],[GroupByKey]]),(OutputTable[GroupByKey]=OutputTable[[#This Row],[GroupByKey]])*OutputTable[RecordedValue])),0)</f>
        <v>32.692307692307693</v>
      </c>
      <c r="L19" cm="1">
        <f t="array" ref="L19">IFERROR(_xlfn.STDEV.S(IF((OutputTable[GroupByKey]=OutputTable[[#This Row],[GroupByKey]]),(OutputTable[GroupByKey]=OutputTable[[#This Row],[GroupByKey]])*OutputTable[RecordedValue])),0)</f>
        <v>16.504467149757847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19" cm="1">
        <f t="array" ref="O19">MIN(IF((OutputTable[GroupByKey]=OutputTable[[#This Row],[GroupByKey]]),(OutputTable[GroupByKey]=OutputTable[[#This Row],[GroupByKey]])*OutputTable[RecordedValue]))</f>
        <v>10</v>
      </c>
      <c r="P19" cm="1">
        <f t="array" ref="P19">MAX(IF((OutputTable[GroupByKey]=OutputTable[[#This Row],[GroupByKey]]),(OutputTable[GroupByKey]=OutputTable[[#This Row],[GroupByKey]])*OutputTable[RecordedValue]))</f>
        <v>60</v>
      </c>
    </row>
    <row r="20" spans="1:16" x14ac:dyDescent="0.25">
      <c r="A20" t="s">
        <v>67</v>
      </c>
      <c r="B20" t="s">
        <v>107</v>
      </c>
      <c r="C20">
        <v>3</v>
      </c>
      <c r="D20" t="s">
        <v>103</v>
      </c>
      <c r="E20" t="s">
        <v>104</v>
      </c>
      <c r="F20" t="s">
        <v>91</v>
      </c>
      <c r="G20">
        <v>0.87909786633303799</v>
      </c>
      <c r="H20">
        <v>0</v>
      </c>
      <c r="I20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13</v>
      </c>
      <c r="K20" cm="1">
        <f t="array" ref="K20">IFERROR(AVERAGE(IF((OutputTable[GroupByKey]=OutputTable[[#This Row],[GroupByKey]]),(OutputTable[GroupByKey]=OutputTable[[#This Row],[GroupByKey]])*OutputTable[RecordedValue])),0)</f>
        <v>0.5508272599640216</v>
      </c>
      <c r="L20" cm="1">
        <f t="array" ref="L20">IFERROR(_xlfn.STDEV.S(IF((OutputTable[GroupByKey]=OutputTable[[#This Row],[GroupByKey]]),(OutputTable[GroupByKey]=OutputTable[[#This Row],[GroupByKey]])*OutputTable[RecordedValue])),0)</f>
        <v>0.26071930751958244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20" cm="1">
        <f t="array" ref="O20">MIN(IF((OutputTable[GroupByKey]=OutputTable[[#This Row],[GroupByKey]]),(OutputTable[GroupByKey]=OutputTable[[#This Row],[GroupByKey]])*OutputTable[RecordedValue]))</f>
        <v>0.146598355861076</v>
      </c>
      <c r="P20" cm="1">
        <f t="array" ref="P20">MAX(IF((OutputTable[GroupByKey]=OutputTable[[#This Row],[GroupByKey]]),(OutputTable[GroupByKey]=OutputTable[[#This Row],[GroupByKey]])*OutputTable[RecordedValue]))</f>
        <v>0.91769977116840795</v>
      </c>
    </row>
    <row r="21" spans="1:16" x14ac:dyDescent="0.25">
      <c r="A21" t="s">
        <v>67</v>
      </c>
      <c r="B21" t="s">
        <v>107</v>
      </c>
      <c r="C21">
        <v>3</v>
      </c>
      <c r="D21" t="s">
        <v>105</v>
      </c>
      <c r="E21" t="s">
        <v>102</v>
      </c>
      <c r="F21" t="s">
        <v>91</v>
      </c>
      <c r="G21">
        <v>16</v>
      </c>
      <c r="H21">
        <v>0</v>
      </c>
      <c r="I21" t="str">
        <f>OutputTable[[#This Row],[ProjectName]]&amp;OutputTable[[#This Row],[Name]]&amp;OutputTable[[#This Row],[Type]]&amp;OutputTable[[#This Row],[Source]]</f>
        <v>Unnamed ProjectrTaladro.NumberSeizedTotal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13</v>
      </c>
      <c r="K21" cm="1">
        <f t="array" ref="K21">IFERROR(AVERAGE(IF((OutputTable[GroupByKey]=OutputTable[[#This Row],[GroupByKey]]),(OutputTable[GroupByKey]=OutputTable[[#This Row],[GroupByKey]])*OutputTable[RecordedValue])),0)</f>
        <v>11.153846153846153</v>
      </c>
      <c r="L21" cm="1">
        <f t="array" ref="L21">IFERROR(_xlfn.STDEV.S(IF((OutputTable[GroupByKey]=OutputTable[[#This Row],[GroupByKey]]),(OutputTable[GroupByKey]=OutputTable[[#This Row],[GroupByKey]])*OutputTable[RecordedValue])),0)</f>
        <v>5.6693055695583769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21" cm="1">
        <f t="array" ref="O21">MIN(IF((OutputTable[GroupByKey]=OutputTable[[#This Row],[GroupByKey]]),(OutputTable[GroupByKey]=OutputTable[[#This Row],[GroupByKey]])*OutputTable[RecordedValue]))</f>
        <v>4</v>
      </c>
      <c r="P21" cm="1">
        <f t="array" ref="P21">MAX(IF((OutputTable[GroupByKey]=OutputTable[[#This Row],[GroupByKey]]),(OutputTable[GroupByKey]=OutputTable[[#This Row],[GroupByKey]])*OutputTable[RecordedValue]))</f>
        <v>22</v>
      </c>
    </row>
    <row r="22" spans="1:16" x14ac:dyDescent="0.25">
      <c r="A22" t="s">
        <v>67</v>
      </c>
      <c r="B22" t="s">
        <v>107</v>
      </c>
      <c r="C22">
        <v>3</v>
      </c>
      <c r="D22" t="s">
        <v>106</v>
      </c>
      <c r="E22" t="s">
        <v>104</v>
      </c>
      <c r="F22" t="s">
        <v>91</v>
      </c>
      <c r="G22">
        <v>0.419266029763466</v>
      </c>
      <c r="H22">
        <v>0</v>
      </c>
      <c r="I22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13</v>
      </c>
      <c r="K22" cm="1">
        <f t="array" ref="K22">IFERROR(AVERAGE(IF((OutputTable[GroupByKey]=OutputTable[[#This Row],[GroupByKey]]),(OutputTable[GroupByKey]=OutputTable[[#This Row],[GroupByKey]])*OutputTable[RecordedValue])),0)</f>
        <v>0.28215676683758301</v>
      </c>
      <c r="L22" cm="1">
        <f t="array" ref="L22">IFERROR(_xlfn.STDEV.S(IF((OutputTable[GroupByKey]=OutputTable[[#This Row],[GroupByKey]]),(OutputTable[GroupByKey]=OutputTable[[#This Row],[GroupByKey]])*OutputTable[RecordedValue])),0)</f>
        <v>0.13987907795908774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22" cm="1">
        <f t="array" ref="O22">MIN(IF((OutputTable[GroupByKey]=OutputTable[[#This Row],[GroupByKey]]),(OutputTable[GroupByKey]=OutputTable[[#This Row],[GroupByKey]])*OutputTable[RecordedValue]))</f>
        <v>0.105150492315538</v>
      </c>
      <c r="P22" cm="1">
        <f t="array" ref="P22">MAX(IF((OutputTable[GroupByKey]=OutputTable[[#This Row],[GroupByKey]]),(OutputTable[GroupByKey]=OutputTable[[#This Row],[GroupByKey]])*OutputTable[RecordedValue]))</f>
        <v>0.53316656156980802</v>
      </c>
    </row>
    <row r="23" spans="1:16" x14ac:dyDescent="0.25">
      <c r="A23" t="s">
        <v>67</v>
      </c>
      <c r="B23" t="s">
        <v>107</v>
      </c>
      <c r="C23">
        <v>4</v>
      </c>
      <c r="D23" t="s">
        <v>95</v>
      </c>
      <c r="E23" t="s">
        <v>96</v>
      </c>
      <c r="F23" t="s">
        <v>75</v>
      </c>
      <c r="G23">
        <v>10</v>
      </c>
      <c r="H23">
        <v>0</v>
      </c>
      <c r="I23" t="str">
        <f>OutputTable[[#This Row],[ProjectName]]&amp;OutputTable[[#This Row],[Name]]&amp;OutputTable[[#This Row],[Type]]&amp;OutputTable[[#This Row],[Source]]</f>
        <v>Unnamed ProjectItems.NumberInNumber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13</v>
      </c>
      <c r="K23" cm="1">
        <f t="array" ref="K23">IFERROR(AVERAGE(IF((OutputTable[GroupByKey]=OutputTable[[#This Row],[GroupByKey]]),(OutputTable[GroupByKey]=OutputTable[[#This Row],[GroupByKey]])*OutputTable[RecordedValue])),0)</f>
        <v>38.46153846153846</v>
      </c>
      <c r="L23" cm="1">
        <f t="array" ref="L23">IFERROR(_xlfn.STDEV.S(IF((OutputTable[GroupByKey]=OutputTable[[#This Row],[GroupByKey]]),(OutputTable[GroupByKey]=OutputTable[[#This Row],[GroupByKey]])*OutputTable[RecordedValue])),0)</f>
        <v>21.543039806456381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23" cm="1">
        <f t="array" ref="O23">MIN(IF((OutputTable[GroupByKey]=OutputTable[[#This Row],[GroupByKey]]),(OutputTable[GroupByKey]=OutputTable[[#This Row],[GroupByKey]])*OutputTable[RecordedValue]))</f>
        <v>10</v>
      </c>
      <c r="P23" cm="1">
        <f t="array" ref="P23">MAX(IF((OutputTable[GroupByKey]=OutputTable[[#This Row],[GroupByKey]]),(OutputTable[GroupByKey]=OutputTable[[#This Row],[GroupByKey]])*OutputTable[RecordedValue]))</f>
        <v>70</v>
      </c>
    </row>
    <row r="24" spans="1:16" x14ac:dyDescent="0.25">
      <c r="A24" t="s">
        <v>67</v>
      </c>
      <c r="B24" t="s">
        <v>107</v>
      </c>
      <c r="C24">
        <v>4</v>
      </c>
      <c r="D24" t="s">
        <v>97</v>
      </c>
      <c r="E24" t="s">
        <v>98</v>
      </c>
      <c r="F24" t="s">
        <v>75</v>
      </c>
      <c r="G24">
        <v>10</v>
      </c>
      <c r="H24">
        <v>0</v>
      </c>
      <c r="I24" t="str">
        <f>OutputTable[[#This Row],[ProjectName]]&amp;OutputTable[[#This Row],[Name]]&amp;OutputTable[[#This Row],[Type]]&amp;OutputTable[[#This Row],[Source]]</f>
        <v>Unnamed ProjectItems.NumberOutNumber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13</v>
      </c>
      <c r="K24" cm="1">
        <f t="array" ref="K24">IFERROR(AVERAGE(IF((OutputTable[GroupByKey]=OutputTable[[#This Row],[GroupByKey]]),(OutputTable[GroupByKey]=OutputTable[[#This Row],[GroupByKey]])*OutputTable[RecordedValue])),0)</f>
        <v>31.76923076923077</v>
      </c>
      <c r="L24" cm="1">
        <f t="array" ref="L24">IFERROR(_xlfn.STDEV.S(IF((OutputTable[GroupByKey]=OutputTable[[#This Row],[GroupByKey]]),(OutputTable[GroupByKey]=OutputTable[[#This Row],[GroupByKey]])*OutputTable[RecordedValue])),0)</f>
        <v>15.932952468358597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24" cm="1">
        <f t="array" ref="O24">MIN(IF((OutputTable[GroupByKey]=OutputTable[[#This Row],[GroupByKey]]),(OutputTable[GroupByKey]=OutputTable[[#This Row],[GroupByKey]])*OutputTable[RecordedValue]))</f>
        <v>10</v>
      </c>
      <c r="P24" cm="1">
        <f t="array" ref="P24">MAX(IF((OutputTable[GroupByKey]=OutputTable[[#This Row],[GroupByKey]]),(OutputTable[GroupByKey]=OutputTable[[#This Row],[GroupByKey]])*OutputTable[RecordedValue]))</f>
        <v>60</v>
      </c>
    </row>
    <row r="25" spans="1:16" x14ac:dyDescent="0.25">
      <c r="A25" t="s">
        <v>67</v>
      </c>
      <c r="B25" t="s">
        <v>107</v>
      </c>
      <c r="C25">
        <v>4</v>
      </c>
      <c r="D25" t="s">
        <v>99</v>
      </c>
      <c r="E25" t="s">
        <v>98</v>
      </c>
      <c r="F25" t="s">
        <v>100</v>
      </c>
      <c r="G25">
        <v>10</v>
      </c>
      <c r="H25">
        <v>0</v>
      </c>
      <c r="I25" t="str">
        <f>OutputTable[[#This Row],[ProjectName]]&amp;OutputTable[[#This Row],[Name]]&amp;OutputTable[[#This Row],[Type]]&amp;OutputTable[[#This Row],[Source]]</f>
        <v>Unnamed ProjectSystem.NumberOutNumber OutSystem</v>
      </c>
      <c r="J25" cm="1">
        <f t="array" ref="J25">MAX(IF((ProjectInfoTable[ProjectName]=OutputTable[[#This Row],[ProjectName]]),(ProjectInfoTable[ProjectName]=OutputTable[[#This Row],[ProjectName]])*ProjectInfoTable[NumberOfReplications]))</f>
        <v>13</v>
      </c>
      <c r="K25" cm="1">
        <f t="array" ref="K25">IFERROR(AVERAGE(IF((OutputTable[GroupByKey]=OutputTable[[#This Row],[GroupByKey]]),(OutputTable[GroupByKey]=OutputTable[[#This Row],[GroupByKey]])*OutputTable[RecordedValue])),0)</f>
        <v>31.76923076923077</v>
      </c>
      <c r="L25" cm="1">
        <f t="array" ref="L25">IFERROR(_xlfn.STDEV.S(IF((OutputTable[GroupByKey]=OutputTable[[#This Row],[GroupByKey]]),(OutputTable[GroupByKey]=OutputTable[[#This Row],[GroupByKey]])*OutputTable[RecordedValue])),0)</f>
        <v>15.932952468358597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25" cm="1">
        <f t="array" ref="O25">MIN(IF((OutputTable[GroupByKey]=OutputTable[[#This Row],[GroupByKey]]),(OutputTable[GroupByKey]=OutputTable[[#This Row],[GroupByKey]])*OutputTable[RecordedValue]))</f>
        <v>10</v>
      </c>
      <c r="P25" cm="1">
        <f t="array" ref="P25">MAX(IF((OutputTable[GroupByKey]=OutputTable[[#This Row],[GroupByKey]]),(OutputTable[GroupByKey]=OutputTable[[#This Row],[GroupByKey]])*OutputTable[RecordedValue]))</f>
        <v>60</v>
      </c>
    </row>
    <row r="26" spans="1:16" x14ac:dyDescent="0.25">
      <c r="A26" t="s">
        <v>67</v>
      </c>
      <c r="B26" t="s">
        <v>107</v>
      </c>
      <c r="C26">
        <v>4</v>
      </c>
      <c r="D26" t="s">
        <v>101</v>
      </c>
      <c r="E26" t="s">
        <v>102</v>
      </c>
      <c r="F26" t="s">
        <v>91</v>
      </c>
      <c r="G26">
        <v>10</v>
      </c>
      <c r="H26">
        <v>0</v>
      </c>
      <c r="I26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13</v>
      </c>
      <c r="K26" cm="1">
        <f t="array" ref="K26">IFERROR(AVERAGE(IF((OutputTable[GroupByKey]=OutputTable[[#This Row],[GroupByKey]]),(OutputTable[GroupByKey]=OutputTable[[#This Row],[GroupByKey]])*OutputTable[RecordedValue])),0)</f>
        <v>32.692307692307693</v>
      </c>
      <c r="L26" cm="1">
        <f t="array" ref="L26">IFERROR(_xlfn.STDEV.S(IF((OutputTable[GroupByKey]=OutputTable[[#This Row],[GroupByKey]]),(OutputTable[GroupByKey]=OutputTable[[#This Row],[GroupByKey]])*OutputTable[RecordedValue])),0)</f>
        <v>16.504467149757847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26" cm="1">
        <f t="array" ref="O26">MIN(IF((OutputTable[GroupByKey]=OutputTable[[#This Row],[GroupByKey]]),(OutputTable[GroupByKey]=OutputTable[[#This Row],[GroupByKey]])*OutputTable[RecordedValue]))</f>
        <v>10</v>
      </c>
      <c r="P26" cm="1">
        <f t="array" ref="P26">MAX(IF((OutputTable[GroupByKey]=OutputTable[[#This Row],[GroupByKey]]),(OutputTable[GroupByKey]=OutputTable[[#This Row],[GroupByKey]])*OutputTable[RecordedValue]))</f>
        <v>60</v>
      </c>
    </row>
    <row r="27" spans="1:16" x14ac:dyDescent="0.25">
      <c r="A27" t="s">
        <v>67</v>
      </c>
      <c r="B27" t="s">
        <v>107</v>
      </c>
      <c r="C27">
        <v>4</v>
      </c>
      <c r="D27" t="s">
        <v>103</v>
      </c>
      <c r="E27" t="s">
        <v>104</v>
      </c>
      <c r="F27" t="s">
        <v>91</v>
      </c>
      <c r="G27">
        <v>0.20626974986575</v>
      </c>
      <c r="H27">
        <v>0</v>
      </c>
      <c r="I27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13</v>
      </c>
      <c r="K27" cm="1">
        <f t="array" ref="K27">IFERROR(AVERAGE(IF((OutputTable[GroupByKey]=OutputTable[[#This Row],[GroupByKey]]),(OutputTable[GroupByKey]=OutputTable[[#This Row],[GroupByKey]])*OutputTable[RecordedValue])),0)</f>
        <v>0.5508272599640216</v>
      </c>
      <c r="L27" cm="1">
        <f t="array" ref="L27">IFERROR(_xlfn.STDEV.S(IF((OutputTable[GroupByKey]=OutputTable[[#This Row],[GroupByKey]]),(OutputTable[GroupByKey]=OutputTable[[#This Row],[GroupByKey]])*OutputTable[RecordedValue])),0)</f>
        <v>0.26071930751958244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27" cm="1">
        <f t="array" ref="O27">MIN(IF((OutputTable[GroupByKey]=OutputTable[[#This Row],[GroupByKey]]),(OutputTable[GroupByKey]=OutputTable[[#This Row],[GroupByKey]])*OutputTable[RecordedValue]))</f>
        <v>0.146598355861076</v>
      </c>
      <c r="P27" cm="1">
        <f t="array" ref="P27">MAX(IF((OutputTable[GroupByKey]=OutputTable[[#This Row],[GroupByKey]]),(OutputTable[GroupByKey]=OutputTable[[#This Row],[GroupByKey]])*OutputTable[RecordedValue]))</f>
        <v>0.91769977116840795</v>
      </c>
    </row>
    <row r="28" spans="1:16" x14ac:dyDescent="0.25">
      <c r="A28" t="s">
        <v>67</v>
      </c>
      <c r="B28" t="s">
        <v>107</v>
      </c>
      <c r="C28">
        <v>4</v>
      </c>
      <c r="D28" t="s">
        <v>105</v>
      </c>
      <c r="E28" t="s">
        <v>102</v>
      </c>
      <c r="F28" t="s">
        <v>91</v>
      </c>
      <c r="G28">
        <v>4</v>
      </c>
      <c r="H28">
        <v>0</v>
      </c>
      <c r="I28" t="str">
        <f>OutputTable[[#This Row],[ProjectName]]&amp;OutputTable[[#This Row],[Name]]&amp;OutputTable[[#This Row],[Type]]&amp;OutputTable[[#This Row],[Source]]</f>
        <v>Unnamed ProjectrTaladro.NumberSeizedTotal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13</v>
      </c>
      <c r="K28" cm="1">
        <f t="array" ref="K28">IFERROR(AVERAGE(IF((OutputTable[GroupByKey]=OutputTable[[#This Row],[GroupByKey]]),(OutputTable[GroupByKey]=OutputTable[[#This Row],[GroupByKey]])*OutputTable[RecordedValue])),0)</f>
        <v>11.153846153846153</v>
      </c>
      <c r="L28" cm="1">
        <f t="array" ref="L28">IFERROR(_xlfn.STDEV.S(IF((OutputTable[GroupByKey]=OutputTable[[#This Row],[GroupByKey]]),(OutputTable[GroupByKey]=OutputTable[[#This Row],[GroupByKey]])*OutputTable[RecordedValue])),0)</f>
        <v>5.6693055695583769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28" cm="1">
        <f t="array" ref="O28">MIN(IF((OutputTable[GroupByKey]=OutputTable[[#This Row],[GroupByKey]]),(OutputTable[GroupByKey]=OutputTable[[#This Row],[GroupByKey]])*OutputTable[RecordedValue]))</f>
        <v>4</v>
      </c>
      <c r="P28" cm="1">
        <f t="array" ref="P28">MAX(IF((OutputTable[GroupByKey]=OutputTable[[#This Row],[GroupByKey]]),(OutputTable[GroupByKey]=OutputTable[[#This Row],[GroupByKey]])*OutputTable[RecordedValue]))</f>
        <v>22</v>
      </c>
    </row>
    <row r="29" spans="1:16" x14ac:dyDescent="0.25">
      <c r="A29" t="s">
        <v>67</v>
      </c>
      <c r="B29" t="s">
        <v>107</v>
      </c>
      <c r="C29">
        <v>4</v>
      </c>
      <c r="D29" t="s">
        <v>106</v>
      </c>
      <c r="E29" t="s">
        <v>104</v>
      </c>
      <c r="F29" t="s">
        <v>91</v>
      </c>
      <c r="G29">
        <v>0.105150492315538</v>
      </c>
      <c r="H29">
        <v>0</v>
      </c>
      <c r="I29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13</v>
      </c>
      <c r="K29" cm="1">
        <f t="array" ref="K29">IFERROR(AVERAGE(IF((OutputTable[GroupByKey]=OutputTable[[#This Row],[GroupByKey]]),(OutputTable[GroupByKey]=OutputTable[[#This Row],[GroupByKey]])*OutputTable[RecordedValue])),0)</f>
        <v>0.28215676683758301</v>
      </c>
      <c r="L29" cm="1">
        <f t="array" ref="L29">IFERROR(_xlfn.STDEV.S(IF((OutputTable[GroupByKey]=OutputTable[[#This Row],[GroupByKey]]),(OutputTable[GroupByKey]=OutputTable[[#This Row],[GroupByKey]])*OutputTable[RecordedValue])),0)</f>
        <v>0.13987907795908774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29" cm="1">
        <f t="array" ref="O29">MIN(IF((OutputTable[GroupByKey]=OutputTable[[#This Row],[GroupByKey]]),(OutputTable[GroupByKey]=OutputTable[[#This Row],[GroupByKey]])*OutputTable[RecordedValue]))</f>
        <v>0.105150492315538</v>
      </c>
      <c r="P29" cm="1">
        <f t="array" ref="P29">MAX(IF((OutputTable[GroupByKey]=OutputTable[[#This Row],[GroupByKey]]),(OutputTable[GroupByKey]=OutputTable[[#This Row],[GroupByKey]])*OutputTable[RecordedValue]))</f>
        <v>0.53316656156980802</v>
      </c>
    </row>
    <row r="30" spans="1:16" x14ac:dyDescent="0.25">
      <c r="A30" t="s">
        <v>67</v>
      </c>
      <c r="B30" t="s">
        <v>107</v>
      </c>
      <c r="C30">
        <v>5</v>
      </c>
      <c r="D30" t="s">
        <v>95</v>
      </c>
      <c r="E30" t="s">
        <v>96</v>
      </c>
      <c r="F30" t="s">
        <v>75</v>
      </c>
      <c r="G30">
        <v>10</v>
      </c>
      <c r="H30">
        <v>0</v>
      </c>
      <c r="I30" t="str">
        <f>OutputTable[[#This Row],[ProjectName]]&amp;OutputTable[[#This Row],[Name]]&amp;OutputTable[[#This Row],[Type]]&amp;OutputTable[[#This Row],[Source]]</f>
        <v>Unnamed ProjectItems.NumberInNumber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13</v>
      </c>
      <c r="K30" cm="1">
        <f t="array" ref="K30">IFERROR(AVERAGE(IF((OutputTable[GroupByKey]=OutputTable[[#This Row],[GroupByKey]]),(OutputTable[GroupByKey]=OutputTable[[#This Row],[GroupByKey]])*OutputTable[RecordedValue])),0)</f>
        <v>38.46153846153846</v>
      </c>
      <c r="L30" cm="1">
        <f t="array" ref="L30">IFERROR(_xlfn.STDEV.S(IF((OutputTable[GroupByKey]=OutputTable[[#This Row],[GroupByKey]]),(OutputTable[GroupByKey]=OutputTable[[#This Row],[GroupByKey]])*OutputTable[RecordedValue])),0)</f>
        <v>21.543039806456381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30" cm="1">
        <f t="array" ref="O30">MIN(IF((OutputTable[GroupByKey]=OutputTable[[#This Row],[GroupByKey]]),(OutputTable[GroupByKey]=OutputTable[[#This Row],[GroupByKey]])*OutputTable[RecordedValue]))</f>
        <v>10</v>
      </c>
      <c r="P30" cm="1">
        <f t="array" ref="P30">MAX(IF((OutputTable[GroupByKey]=OutputTable[[#This Row],[GroupByKey]]),(OutputTable[GroupByKey]=OutputTable[[#This Row],[GroupByKey]])*OutputTable[RecordedValue]))</f>
        <v>70</v>
      </c>
    </row>
    <row r="31" spans="1:16" x14ac:dyDescent="0.25">
      <c r="A31" t="s">
        <v>67</v>
      </c>
      <c r="B31" t="s">
        <v>107</v>
      </c>
      <c r="C31">
        <v>5</v>
      </c>
      <c r="D31" t="s">
        <v>97</v>
      </c>
      <c r="E31" t="s">
        <v>98</v>
      </c>
      <c r="F31" t="s">
        <v>75</v>
      </c>
      <c r="G31">
        <v>10</v>
      </c>
      <c r="H31">
        <v>0</v>
      </c>
      <c r="I31" t="str">
        <f>OutputTable[[#This Row],[ProjectName]]&amp;OutputTable[[#This Row],[Name]]&amp;OutputTable[[#This Row],[Type]]&amp;OutputTable[[#This Row],[Source]]</f>
        <v>Unnamed ProjectItems.NumberOutNumber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13</v>
      </c>
      <c r="K31" cm="1">
        <f t="array" ref="K31">IFERROR(AVERAGE(IF((OutputTable[GroupByKey]=OutputTable[[#This Row],[GroupByKey]]),(OutputTable[GroupByKey]=OutputTable[[#This Row],[GroupByKey]])*OutputTable[RecordedValue])),0)</f>
        <v>31.76923076923077</v>
      </c>
      <c r="L31" cm="1">
        <f t="array" ref="L31">IFERROR(_xlfn.STDEV.S(IF((OutputTable[GroupByKey]=OutputTable[[#This Row],[GroupByKey]]),(OutputTable[GroupByKey]=OutputTable[[#This Row],[GroupByKey]])*OutputTable[RecordedValue])),0)</f>
        <v>15.932952468358597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31" cm="1">
        <f t="array" ref="O31">MIN(IF((OutputTable[GroupByKey]=OutputTable[[#This Row],[GroupByKey]]),(OutputTable[GroupByKey]=OutputTable[[#This Row],[GroupByKey]])*OutputTable[RecordedValue]))</f>
        <v>10</v>
      </c>
      <c r="P31" cm="1">
        <f t="array" ref="P31">MAX(IF((OutputTable[GroupByKey]=OutputTable[[#This Row],[GroupByKey]]),(OutputTable[GroupByKey]=OutputTable[[#This Row],[GroupByKey]])*OutputTable[RecordedValue]))</f>
        <v>60</v>
      </c>
    </row>
    <row r="32" spans="1:16" x14ac:dyDescent="0.25">
      <c r="A32" t="s">
        <v>67</v>
      </c>
      <c r="B32" t="s">
        <v>107</v>
      </c>
      <c r="C32">
        <v>5</v>
      </c>
      <c r="D32" t="s">
        <v>99</v>
      </c>
      <c r="E32" t="s">
        <v>98</v>
      </c>
      <c r="F32" t="s">
        <v>100</v>
      </c>
      <c r="G32">
        <v>10</v>
      </c>
      <c r="H32">
        <v>0</v>
      </c>
      <c r="I32" t="str">
        <f>OutputTable[[#This Row],[ProjectName]]&amp;OutputTable[[#This Row],[Name]]&amp;OutputTable[[#This Row],[Type]]&amp;OutputTable[[#This Row],[Source]]</f>
        <v>Unnamed ProjectSystem.NumberOutNumber OutSystem</v>
      </c>
      <c r="J32" cm="1">
        <f t="array" ref="J32">MAX(IF((ProjectInfoTable[ProjectName]=OutputTable[[#This Row],[ProjectName]]),(ProjectInfoTable[ProjectName]=OutputTable[[#This Row],[ProjectName]])*ProjectInfoTable[NumberOfReplications]))</f>
        <v>13</v>
      </c>
      <c r="K32" cm="1">
        <f t="array" ref="K32">IFERROR(AVERAGE(IF((OutputTable[GroupByKey]=OutputTable[[#This Row],[GroupByKey]]),(OutputTable[GroupByKey]=OutputTable[[#This Row],[GroupByKey]])*OutputTable[RecordedValue])),0)</f>
        <v>31.76923076923077</v>
      </c>
      <c r="L32" cm="1">
        <f t="array" ref="L32">IFERROR(_xlfn.STDEV.S(IF((OutputTable[GroupByKey]=OutputTable[[#This Row],[GroupByKey]]),(OutputTable[GroupByKey]=OutputTable[[#This Row],[GroupByKey]])*OutputTable[RecordedValue])),0)</f>
        <v>15.932952468358597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32" cm="1">
        <f t="array" ref="O32">MIN(IF((OutputTable[GroupByKey]=OutputTable[[#This Row],[GroupByKey]]),(OutputTable[GroupByKey]=OutputTable[[#This Row],[GroupByKey]])*OutputTable[RecordedValue]))</f>
        <v>10</v>
      </c>
      <c r="P32" cm="1">
        <f t="array" ref="P32">MAX(IF((OutputTable[GroupByKey]=OutputTable[[#This Row],[GroupByKey]]),(OutputTable[GroupByKey]=OutputTable[[#This Row],[GroupByKey]])*OutputTable[RecordedValue]))</f>
        <v>60</v>
      </c>
    </row>
    <row r="33" spans="1:16" x14ac:dyDescent="0.25">
      <c r="A33" t="s">
        <v>67</v>
      </c>
      <c r="B33" t="s">
        <v>107</v>
      </c>
      <c r="C33">
        <v>5</v>
      </c>
      <c r="D33" t="s">
        <v>101</v>
      </c>
      <c r="E33" t="s">
        <v>102</v>
      </c>
      <c r="F33" t="s">
        <v>91</v>
      </c>
      <c r="G33">
        <v>10</v>
      </c>
      <c r="H33">
        <v>0</v>
      </c>
      <c r="I33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33" cm="1">
        <f t="array" ref="J33">MAX(IF((ProjectInfoTable[ProjectName]=OutputTable[[#This Row],[ProjectName]]),(ProjectInfoTable[ProjectName]=OutputTable[[#This Row],[ProjectName]])*ProjectInfoTable[NumberOfReplications]))</f>
        <v>13</v>
      </c>
      <c r="K33" cm="1">
        <f t="array" ref="K33">IFERROR(AVERAGE(IF((OutputTable[GroupByKey]=OutputTable[[#This Row],[GroupByKey]]),(OutputTable[GroupByKey]=OutputTable[[#This Row],[GroupByKey]])*OutputTable[RecordedValue])),0)</f>
        <v>32.692307692307693</v>
      </c>
      <c r="L33" cm="1">
        <f t="array" ref="L33">IFERROR(_xlfn.STDEV.S(IF((OutputTable[GroupByKey]=OutputTable[[#This Row],[GroupByKey]]),(OutputTable[GroupByKey]=OutputTable[[#This Row],[GroupByKey]])*OutputTable[RecordedValue])),0)</f>
        <v>16.504467149757847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33" cm="1">
        <f t="array" ref="O33">MIN(IF((OutputTable[GroupByKey]=OutputTable[[#This Row],[GroupByKey]]),(OutputTable[GroupByKey]=OutputTable[[#This Row],[GroupByKey]])*OutputTable[RecordedValue]))</f>
        <v>10</v>
      </c>
      <c r="P33" cm="1">
        <f t="array" ref="P33">MAX(IF((OutputTable[GroupByKey]=OutputTable[[#This Row],[GroupByKey]]),(OutputTable[GroupByKey]=OutputTable[[#This Row],[GroupByKey]])*OutputTable[RecordedValue]))</f>
        <v>60</v>
      </c>
    </row>
    <row r="34" spans="1:16" x14ac:dyDescent="0.25">
      <c r="A34" t="s">
        <v>67</v>
      </c>
      <c r="B34" t="s">
        <v>107</v>
      </c>
      <c r="C34">
        <v>5</v>
      </c>
      <c r="D34" t="s">
        <v>103</v>
      </c>
      <c r="E34" t="s">
        <v>104</v>
      </c>
      <c r="F34" t="s">
        <v>91</v>
      </c>
      <c r="G34">
        <v>0.16923556352618799</v>
      </c>
      <c r="H34">
        <v>0</v>
      </c>
      <c r="I34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13</v>
      </c>
      <c r="K34" cm="1">
        <f t="array" ref="K34">IFERROR(AVERAGE(IF((OutputTable[GroupByKey]=OutputTable[[#This Row],[GroupByKey]]),(OutputTable[GroupByKey]=OutputTable[[#This Row],[GroupByKey]])*OutputTable[RecordedValue])),0)</f>
        <v>0.5508272599640216</v>
      </c>
      <c r="L34" cm="1">
        <f t="array" ref="L34">IFERROR(_xlfn.STDEV.S(IF((OutputTable[GroupByKey]=OutputTable[[#This Row],[GroupByKey]]),(OutputTable[GroupByKey]=OutputTable[[#This Row],[GroupByKey]])*OutputTable[RecordedValue])),0)</f>
        <v>0.26071930751958244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34" cm="1">
        <f t="array" ref="O34">MIN(IF((OutputTable[GroupByKey]=OutputTable[[#This Row],[GroupByKey]]),(OutputTable[GroupByKey]=OutputTable[[#This Row],[GroupByKey]])*OutputTable[RecordedValue]))</f>
        <v>0.146598355861076</v>
      </c>
      <c r="P34" cm="1">
        <f t="array" ref="P34">MAX(IF((OutputTable[GroupByKey]=OutputTable[[#This Row],[GroupByKey]]),(OutputTable[GroupByKey]=OutputTable[[#This Row],[GroupByKey]])*OutputTable[RecordedValue]))</f>
        <v>0.91769977116840795</v>
      </c>
    </row>
    <row r="35" spans="1:16" x14ac:dyDescent="0.25">
      <c r="A35" t="s">
        <v>67</v>
      </c>
      <c r="B35" t="s">
        <v>107</v>
      </c>
      <c r="C35">
        <v>5</v>
      </c>
      <c r="D35" t="s">
        <v>105</v>
      </c>
      <c r="E35" t="s">
        <v>102</v>
      </c>
      <c r="F35" t="s">
        <v>91</v>
      </c>
      <c r="G35">
        <v>5</v>
      </c>
      <c r="H35">
        <v>0</v>
      </c>
      <c r="I35" t="str">
        <f>OutputTable[[#This Row],[ProjectName]]&amp;OutputTable[[#This Row],[Name]]&amp;OutputTable[[#This Row],[Type]]&amp;OutputTable[[#This Row],[Source]]</f>
        <v>Unnamed ProjectrTaladro.NumberSeizedTotal Number SeizedResource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13</v>
      </c>
      <c r="K35" cm="1">
        <f t="array" ref="K35">IFERROR(AVERAGE(IF((OutputTable[GroupByKey]=OutputTable[[#This Row],[GroupByKey]]),(OutputTable[GroupByKey]=OutputTable[[#This Row],[GroupByKey]])*OutputTable[RecordedValue])),0)</f>
        <v>11.153846153846153</v>
      </c>
      <c r="L35" cm="1">
        <f t="array" ref="L35">IFERROR(_xlfn.STDEV.S(IF((OutputTable[GroupByKey]=OutputTable[[#This Row],[GroupByKey]]),(OutputTable[GroupByKey]=OutputTable[[#This Row],[GroupByKey]])*OutputTable[RecordedValue])),0)</f>
        <v>5.6693055695583769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35" cm="1">
        <f t="array" ref="O35">MIN(IF((OutputTable[GroupByKey]=OutputTable[[#This Row],[GroupByKey]]),(OutputTable[GroupByKey]=OutputTable[[#This Row],[GroupByKey]])*OutputTable[RecordedValue]))</f>
        <v>4</v>
      </c>
      <c r="P35" cm="1">
        <f t="array" ref="P35">MAX(IF((OutputTable[GroupByKey]=OutputTable[[#This Row],[GroupByKey]]),(OutputTable[GroupByKey]=OutputTable[[#This Row],[GroupByKey]])*OutputTable[RecordedValue]))</f>
        <v>22</v>
      </c>
    </row>
    <row r="36" spans="1:16" x14ac:dyDescent="0.25">
      <c r="A36" t="s">
        <v>67</v>
      </c>
      <c r="B36" t="s">
        <v>107</v>
      </c>
      <c r="C36">
        <v>5</v>
      </c>
      <c r="D36" t="s">
        <v>106</v>
      </c>
      <c r="E36" t="s">
        <v>104</v>
      </c>
      <c r="F36" t="s">
        <v>91</v>
      </c>
      <c r="G36">
        <v>0.121787000839284</v>
      </c>
      <c r="H36">
        <v>0</v>
      </c>
      <c r="I36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13</v>
      </c>
      <c r="K36" cm="1">
        <f t="array" ref="K36">IFERROR(AVERAGE(IF((OutputTable[GroupByKey]=OutputTable[[#This Row],[GroupByKey]]),(OutputTable[GroupByKey]=OutputTable[[#This Row],[GroupByKey]])*OutputTable[RecordedValue])),0)</f>
        <v>0.28215676683758301</v>
      </c>
      <c r="L36" cm="1">
        <f t="array" ref="L36">IFERROR(_xlfn.STDEV.S(IF((OutputTable[GroupByKey]=OutputTable[[#This Row],[GroupByKey]]),(OutputTable[GroupByKey]=OutputTable[[#This Row],[GroupByKey]])*OutputTable[RecordedValue])),0)</f>
        <v>0.13987907795908774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36" cm="1">
        <f t="array" ref="O36">MIN(IF((OutputTable[GroupByKey]=OutputTable[[#This Row],[GroupByKey]]),(OutputTable[GroupByKey]=OutputTable[[#This Row],[GroupByKey]])*OutputTable[RecordedValue]))</f>
        <v>0.105150492315538</v>
      </c>
      <c r="P36" cm="1">
        <f t="array" ref="P36">MAX(IF((OutputTable[GroupByKey]=OutputTable[[#This Row],[GroupByKey]]),(OutputTable[GroupByKey]=OutputTable[[#This Row],[GroupByKey]])*OutputTable[RecordedValue]))</f>
        <v>0.53316656156980802</v>
      </c>
    </row>
    <row r="37" spans="1:16" x14ac:dyDescent="0.25">
      <c r="A37" t="s">
        <v>67</v>
      </c>
      <c r="B37" t="s">
        <v>107</v>
      </c>
      <c r="C37">
        <v>6</v>
      </c>
      <c r="D37" t="s">
        <v>95</v>
      </c>
      <c r="E37" t="s">
        <v>96</v>
      </c>
      <c r="F37" t="s">
        <v>75</v>
      </c>
      <c r="G37">
        <v>50</v>
      </c>
      <c r="H37">
        <v>0</v>
      </c>
      <c r="I37" t="str">
        <f>OutputTable[[#This Row],[ProjectName]]&amp;OutputTable[[#This Row],[Name]]&amp;OutputTable[[#This Row],[Type]]&amp;OutputTable[[#This Row],[Source]]</f>
        <v>Unnamed ProjectItems.NumberInNumber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13</v>
      </c>
      <c r="K37" cm="1">
        <f t="array" ref="K37">IFERROR(AVERAGE(IF((OutputTable[GroupByKey]=OutputTable[[#This Row],[GroupByKey]]),(OutputTable[GroupByKey]=OutputTable[[#This Row],[GroupByKey]])*OutputTable[RecordedValue])),0)</f>
        <v>38.46153846153846</v>
      </c>
      <c r="L37" cm="1">
        <f t="array" ref="L37">IFERROR(_xlfn.STDEV.S(IF((OutputTable[GroupByKey]=OutputTable[[#This Row],[GroupByKey]]),(OutputTable[GroupByKey]=OutputTable[[#This Row],[GroupByKey]])*OutputTable[RecordedValue])),0)</f>
        <v>21.543039806456381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37" cm="1">
        <f t="array" ref="O37">MIN(IF((OutputTable[GroupByKey]=OutputTable[[#This Row],[GroupByKey]]),(OutputTable[GroupByKey]=OutputTable[[#This Row],[GroupByKey]])*OutputTable[RecordedValue]))</f>
        <v>10</v>
      </c>
      <c r="P37" cm="1">
        <f t="array" ref="P37">MAX(IF((OutputTable[GroupByKey]=OutputTable[[#This Row],[GroupByKey]]),(OutputTable[GroupByKey]=OutputTable[[#This Row],[GroupByKey]])*OutputTable[RecordedValue]))</f>
        <v>70</v>
      </c>
    </row>
    <row r="38" spans="1:16" x14ac:dyDescent="0.25">
      <c r="A38" t="s">
        <v>67</v>
      </c>
      <c r="B38" t="s">
        <v>107</v>
      </c>
      <c r="C38">
        <v>6</v>
      </c>
      <c r="D38" t="s">
        <v>97</v>
      </c>
      <c r="E38" t="s">
        <v>98</v>
      </c>
      <c r="F38" t="s">
        <v>75</v>
      </c>
      <c r="G38">
        <v>34</v>
      </c>
      <c r="H38">
        <v>0</v>
      </c>
      <c r="I38" t="str">
        <f>OutputTable[[#This Row],[ProjectName]]&amp;OutputTable[[#This Row],[Name]]&amp;OutputTable[[#This Row],[Type]]&amp;OutputTable[[#This Row],[Source]]</f>
        <v>Unnamed ProjectItems.NumberOutNumber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13</v>
      </c>
      <c r="K38" cm="1">
        <f t="array" ref="K38">IFERROR(AVERAGE(IF((OutputTable[GroupByKey]=OutputTable[[#This Row],[GroupByKey]]),(OutputTable[GroupByKey]=OutputTable[[#This Row],[GroupByKey]])*OutputTable[RecordedValue])),0)</f>
        <v>31.76923076923077</v>
      </c>
      <c r="L38" cm="1">
        <f t="array" ref="L38">IFERROR(_xlfn.STDEV.S(IF((OutputTable[GroupByKey]=OutputTable[[#This Row],[GroupByKey]]),(OutputTable[GroupByKey]=OutputTable[[#This Row],[GroupByKey]])*OutputTable[RecordedValue])),0)</f>
        <v>15.932952468358597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38" cm="1">
        <f t="array" ref="O38">MIN(IF((OutputTable[GroupByKey]=OutputTable[[#This Row],[GroupByKey]]),(OutputTable[GroupByKey]=OutputTable[[#This Row],[GroupByKey]])*OutputTable[RecordedValue]))</f>
        <v>10</v>
      </c>
      <c r="P38" cm="1">
        <f t="array" ref="P38">MAX(IF((OutputTable[GroupByKey]=OutputTable[[#This Row],[GroupByKey]]),(OutputTable[GroupByKey]=OutputTable[[#This Row],[GroupByKey]])*OutputTable[RecordedValue]))</f>
        <v>60</v>
      </c>
    </row>
    <row r="39" spans="1:16" x14ac:dyDescent="0.25">
      <c r="A39" t="s">
        <v>67</v>
      </c>
      <c r="B39" t="s">
        <v>107</v>
      </c>
      <c r="C39">
        <v>6</v>
      </c>
      <c r="D39" t="s">
        <v>99</v>
      </c>
      <c r="E39" t="s">
        <v>98</v>
      </c>
      <c r="F39" t="s">
        <v>100</v>
      </c>
      <c r="G39">
        <v>34</v>
      </c>
      <c r="H39">
        <v>0</v>
      </c>
      <c r="I39" t="str">
        <f>OutputTable[[#This Row],[ProjectName]]&amp;OutputTable[[#This Row],[Name]]&amp;OutputTable[[#This Row],[Type]]&amp;OutputTable[[#This Row],[Source]]</f>
        <v>Unnamed ProjectSystem.NumberOutNumber OutSystem</v>
      </c>
      <c r="J39" cm="1">
        <f t="array" ref="J39">MAX(IF((ProjectInfoTable[ProjectName]=OutputTable[[#This Row],[ProjectName]]),(ProjectInfoTable[ProjectName]=OutputTable[[#This Row],[ProjectName]])*ProjectInfoTable[NumberOfReplications]))</f>
        <v>13</v>
      </c>
      <c r="K39" cm="1">
        <f t="array" ref="K39">IFERROR(AVERAGE(IF((OutputTable[GroupByKey]=OutputTable[[#This Row],[GroupByKey]]),(OutputTable[GroupByKey]=OutputTable[[#This Row],[GroupByKey]])*OutputTable[RecordedValue])),0)</f>
        <v>31.76923076923077</v>
      </c>
      <c r="L39" cm="1">
        <f t="array" ref="L39">IFERROR(_xlfn.STDEV.S(IF((OutputTable[GroupByKey]=OutputTable[[#This Row],[GroupByKey]]),(OutputTable[GroupByKey]=OutputTable[[#This Row],[GroupByKey]])*OutputTable[RecordedValue])),0)</f>
        <v>15.932952468358597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39" cm="1">
        <f t="array" ref="O39">MIN(IF((OutputTable[GroupByKey]=OutputTable[[#This Row],[GroupByKey]]),(OutputTable[GroupByKey]=OutputTable[[#This Row],[GroupByKey]])*OutputTable[RecordedValue]))</f>
        <v>10</v>
      </c>
      <c r="P39" cm="1">
        <f t="array" ref="P39">MAX(IF((OutputTable[GroupByKey]=OutputTable[[#This Row],[GroupByKey]]),(OutputTable[GroupByKey]=OutputTable[[#This Row],[GroupByKey]])*OutputTable[RecordedValue]))</f>
        <v>60</v>
      </c>
    </row>
    <row r="40" spans="1:16" x14ac:dyDescent="0.25">
      <c r="A40" t="s">
        <v>67</v>
      </c>
      <c r="B40" t="s">
        <v>107</v>
      </c>
      <c r="C40">
        <v>6</v>
      </c>
      <c r="D40" t="s">
        <v>101</v>
      </c>
      <c r="E40" t="s">
        <v>102</v>
      </c>
      <c r="F40" t="s">
        <v>91</v>
      </c>
      <c r="G40">
        <v>36</v>
      </c>
      <c r="H40">
        <v>0</v>
      </c>
      <c r="I40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13</v>
      </c>
      <c r="K40" cm="1">
        <f t="array" ref="K40">IFERROR(AVERAGE(IF((OutputTable[GroupByKey]=OutputTable[[#This Row],[GroupByKey]]),(OutputTable[GroupByKey]=OutputTable[[#This Row],[GroupByKey]])*OutputTable[RecordedValue])),0)</f>
        <v>32.692307692307693</v>
      </c>
      <c r="L40" cm="1">
        <f t="array" ref="L40">IFERROR(_xlfn.STDEV.S(IF((OutputTable[GroupByKey]=OutputTable[[#This Row],[GroupByKey]]),(OutputTable[GroupByKey]=OutputTable[[#This Row],[GroupByKey]])*OutputTable[RecordedValue])),0)</f>
        <v>16.504467149757847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40" cm="1">
        <f t="array" ref="O40">MIN(IF((OutputTable[GroupByKey]=OutputTable[[#This Row],[GroupByKey]]),(OutputTable[GroupByKey]=OutputTable[[#This Row],[GroupByKey]])*OutputTable[RecordedValue]))</f>
        <v>10</v>
      </c>
      <c r="P40" cm="1">
        <f t="array" ref="P40">MAX(IF((OutputTable[GroupByKey]=OutputTable[[#This Row],[GroupByKey]]),(OutputTable[GroupByKey]=OutputTable[[#This Row],[GroupByKey]])*OutputTable[RecordedValue]))</f>
        <v>60</v>
      </c>
    </row>
    <row r="41" spans="1:16" x14ac:dyDescent="0.25">
      <c r="A41" t="s">
        <v>67</v>
      </c>
      <c r="B41" t="s">
        <v>107</v>
      </c>
      <c r="C41">
        <v>6</v>
      </c>
      <c r="D41" t="s">
        <v>103</v>
      </c>
      <c r="E41" t="s">
        <v>104</v>
      </c>
      <c r="F41" t="s">
        <v>91</v>
      </c>
      <c r="G41">
        <v>0.721319861491027</v>
      </c>
      <c r="H41">
        <v>0</v>
      </c>
      <c r="I41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13</v>
      </c>
      <c r="K41" cm="1">
        <f t="array" ref="K41">IFERROR(AVERAGE(IF((OutputTable[GroupByKey]=OutputTable[[#This Row],[GroupByKey]]),(OutputTable[GroupByKey]=OutputTable[[#This Row],[GroupByKey]])*OutputTable[RecordedValue])),0)</f>
        <v>0.5508272599640216</v>
      </c>
      <c r="L41" cm="1">
        <f t="array" ref="L41">IFERROR(_xlfn.STDEV.S(IF((OutputTable[GroupByKey]=OutputTable[[#This Row],[GroupByKey]]),(OutputTable[GroupByKey]=OutputTable[[#This Row],[GroupByKey]])*OutputTable[RecordedValue])),0)</f>
        <v>0.26071930751958244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41" cm="1">
        <f t="array" ref="O41">MIN(IF((OutputTable[GroupByKey]=OutputTable[[#This Row],[GroupByKey]]),(OutputTable[GroupByKey]=OutputTable[[#This Row],[GroupByKey]])*OutputTable[RecordedValue]))</f>
        <v>0.146598355861076</v>
      </c>
      <c r="P41" cm="1">
        <f t="array" ref="P41">MAX(IF((OutputTable[GroupByKey]=OutputTable[[#This Row],[GroupByKey]]),(OutputTable[GroupByKey]=OutputTable[[#This Row],[GroupByKey]])*OutputTable[RecordedValue]))</f>
        <v>0.91769977116840795</v>
      </c>
    </row>
    <row r="42" spans="1:16" x14ac:dyDescent="0.25">
      <c r="A42" t="s">
        <v>67</v>
      </c>
      <c r="B42" t="s">
        <v>107</v>
      </c>
      <c r="C42">
        <v>6</v>
      </c>
      <c r="D42" t="s">
        <v>105</v>
      </c>
      <c r="E42" t="s">
        <v>102</v>
      </c>
      <c r="F42" t="s">
        <v>91</v>
      </c>
      <c r="G42">
        <v>10</v>
      </c>
      <c r="H42">
        <v>0</v>
      </c>
      <c r="I42" t="str">
        <f>OutputTable[[#This Row],[ProjectName]]&amp;OutputTable[[#This Row],[Name]]&amp;OutputTable[[#This Row],[Type]]&amp;OutputTable[[#This Row],[Source]]</f>
        <v>Unnamed ProjectrTaladro.NumberSeizedTotal Number SeizedResource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13</v>
      </c>
      <c r="K42" cm="1">
        <f t="array" ref="K42">IFERROR(AVERAGE(IF((OutputTable[GroupByKey]=OutputTable[[#This Row],[GroupByKey]]),(OutputTable[GroupByKey]=OutputTable[[#This Row],[GroupByKey]])*OutputTable[RecordedValue])),0)</f>
        <v>11.153846153846153</v>
      </c>
      <c r="L42" cm="1">
        <f t="array" ref="L42">IFERROR(_xlfn.STDEV.S(IF((OutputTable[GroupByKey]=OutputTable[[#This Row],[GroupByKey]]),(OutputTable[GroupByKey]=OutputTable[[#This Row],[GroupByKey]])*OutputTable[RecordedValue])),0)</f>
        <v>5.6693055695583769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42" cm="1">
        <f t="array" ref="O42">MIN(IF((OutputTable[GroupByKey]=OutputTable[[#This Row],[GroupByKey]]),(OutputTable[GroupByKey]=OutputTable[[#This Row],[GroupByKey]])*OutputTable[RecordedValue]))</f>
        <v>4</v>
      </c>
      <c r="P42" cm="1">
        <f t="array" ref="P42">MAX(IF((OutputTable[GroupByKey]=OutputTable[[#This Row],[GroupByKey]]),(OutputTable[GroupByKey]=OutputTable[[#This Row],[GroupByKey]])*OutputTable[RecordedValue]))</f>
        <v>22</v>
      </c>
    </row>
    <row r="43" spans="1:16" x14ac:dyDescent="0.25">
      <c r="A43" t="s">
        <v>67</v>
      </c>
      <c r="B43" t="s">
        <v>107</v>
      </c>
      <c r="C43">
        <v>6</v>
      </c>
      <c r="D43" t="s">
        <v>106</v>
      </c>
      <c r="E43" t="s">
        <v>104</v>
      </c>
      <c r="F43" t="s">
        <v>91</v>
      </c>
      <c r="G43">
        <v>0.22655773162805501</v>
      </c>
      <c r="H43">
        <v>0</v>
      </c>
      <c r="I43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13</v>
      </c>
      <c r="K43" cm="1">
        <f t="array" ref="K43">IFERROR(AVERAGE(IF((OutputTable[GroupByKey]=OutputTable[[#This Row],[GroupByKey]]),(OutputTable[GroupByKey]=OutputTable[[#This Row],[GroupByKey]])*OutputTable[RecordedValue])),0)</f>
        <v>0.28215676683758301</v>
      </c>
      <c r="L43" cm="1">
        <f t="array" ref="L43">IFERROR(_xlfn.STDEV.S(IF((OutputTable[GroupByKey]=OutputTable[[#This Row],[GroupByKey]]),(OutputTable[GroupByKey]=OutputTable[[#This Row],[GroupByKey]])*OutputTable[RecordedValue])),0)</f>
        <v>0.13987907795908774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43" cm="1">
        <f t="array" ref="O43">MIN(IF((OutputTable[GroupByKey]=OutputTable[[#This Row],[GroupByKey]]),(OutputTable[GroupByKey]=OutputTable[[#This Row],[GroupByKey]])*OutputTable[RecordedValue]))</f>
        <v>0.105150492315538</v>
      </c>
      <c r="P43" cm="1">
        <f t="array" ref="P43">MAX(IF((OutputTable[GroupByKey]=OutputTable[[#This Row],[GroupByKey]]),(OutputTable[GroupByKey]=OutputTable[[#This Row],[GroupByKey]])*OutputTable[RecordedValue]))</f>
        <v>0.53316656156980802</v>
      </c>
    </row>
    <row r="44" spans="1:16" x14ac:dyDescent="0.25">
      <c r="A44" t="s">
        <v>67</v>
      </c>
      <c r="B44" t="s">
        <v>107</v>
      </c>
      <c r="C44">
        <v>7</v>
      </c>
      <c r="D44" t="s">
        <v>95</v>
      </c>
      <c r="E44" t="s">
        <v>96</v>
      </c>
      <c r="F44" t="s">
        <v>75</v>
      </c>
      <c r="G44">
        <v>20</v>
      </c>
      <c r="H44">
        <v>0</v>
      </c>
      <c r="I44" t="str">
        <f>OutputTable[[#This Row],[ProjectName]]&amp;OutputTable[[#This Row],[Name]]&amp;OutputTable[[#This Row],[Type]]&amp;OutputTable[[#This Row],[Source]]</f>
        <v>Unnamed ProjectItems.NumberInNumber InEntity</v>
      </c>
      <c r="J44" cm="1">
        <f t="array" ref="J44">MAX(IF((ProjectInfoTable[ProjectName]=OutputTable[[#This Row],[ProjectName]]),(ProjectInfoTable[ProjectName]=OutputTable[[#This Row],[ProjectName]])*ProjectInfoTable[NumberOfReplications]))</f>
        <v>13</v>
      </c>
      <c r="K44" cm="1">
        <f t="array" ref="K44">IFERROR(AVERAGE(IF((OutputTable[GroupByKey]=OutputTable[[#This Row],[GroupByKey]]),(OutputTable[GroupByKey]=OutputTable[[#This Row],[GroupByKey]])*OutputTable[RecordedValue])),0)</f>
        <v>38.46153846153846</v>
      </c>
      <c r="L44" cm="1">
        <f t="array" ref="L44">IFERROR(_xlfn.STDEV.S(IF((OutputTable[GroupByKey]=OutputTable[[#This Row],[GroupByKey]]),(OutputTable[GroupByKey]=OutputTable[[#This Row],[GroupByKey]])*OutputTable[RecordedValue])),0)</f>
        <v>21.543039806456381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44" cm="1">
        <f t="array" ref="O44">MIN(IF((OutputTable[GroupByKey]=OutputTable[[#This Row],[GroupByKey]]),(OutputTable[GroupByKey]=OutputTable[[#This Row],[GroupByKey]])*OutputTable[RecordedValue]))</f>
        <v>10</v>
      </c>
      <c r="P44" cm="1">
        <f t="array" ref="P44">MAX(IF((OutputTable[GroupByKey]=OutputTable[[#This Row],[GroupByKey]]),(OutputTable[GroupByKey]=OutputTable[[#This Row],[GroupByKey]])*OutputTable[RecordedValue]))</f>
        <v>70</v>
      </c>
    </row>
    <row r="45" spans="1:16" x14ac:dyDescent="0.25">
      <c r="A45" t="s">
        <v>67</v>
      </c>
      <c r="B45" t="s">
        <v>107</v>
      </c>
      <c r="C45">
        <v>7</v>
      </c>
      <c r="D45" t="s">
        <v>97</v>
      </c>
      <c r="E45" t="s">
        <v>98</v>
      </c>
      <c r="F45" t="s">
        <v>75</v>
      </c>
      <c r="G45">
        <v>20</v>
      </c>
      <c r="H45">
        <v>0</v>
      </c>
      <c r="I45" t="str">
        <f>OutputTable[[#This Row],[ProjectName]]&amp;OutputTable[[#This Row],[Name]]&amp;OutputTable[[#This Row],[Type]]&amp;OutputTable[[#This Row],[Source]]</f>
        <v>Unnamed ProjectItems.NumberOutNumber OutEntity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13</v>
      </c>
      <c r="K45" cm="1">
        <f t="array" ref="K45">IFERROR(AVERAGE(IF((OutputTable[GroupByKey]=OutputTable[[#This Row],[GroupByKey]]),(OutputTable[GroupByKey]=OutputTable[[#This Row],[GroupByKey]])*OutputTable[RecordedValue])),0)</f>
        <v>31.76923076923077</v>
      </c>
      <c r="L45" cm="1">
        <f t="array" ref="L45">IFERROR(_xlfn.STDEV.S(IF((OutputTable[GroupByKey]=OutputTable[[#This Row],[GroupByKey]]),(OutputTable[GroupByKey]=OutputTable[[#This Row],[GroupByKey]])*OutputTable[RecordedValue])),0)</f>
        <v>15.932952468358597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45" cm="1">
        <f t="array" ref="O45">MIN(IF((OutputTable[GroupByKey]=OutputTable[[#This Row],[GroupByKey]]),(OutputTable[GroupByKey]=OutputTable[[#This Row],[GroupByKey]])*OutputTable[RecordedValue]))</f>
        <v>10</v>
      </c>
      <c r="P45" cm="1">
        <f t="array" ref="P45">MAX(IF((OutputTable[GroupByKey]=OutputTable[[#This Row],[GroupByKey]]),(OutputTable[GroupByKey]=OutputTable[[#This Row],[GroupByKey]])*OutputTable[RecordedValue]))</f>
        <v>60</v>
      </c>
    </row>
    <row r="46" spans="1:16" x14ac:dyDescent="0.25">
      <c r="A46" t="s">
        <v>67</v>
      </c>
      <c r="B46" t="s">
        <v>107</v>
      </c>
      <c r="C46">
        <v>7</v>
      </c>
      <c r="D46" t="s">
        <v>99</v>
      </c>
      <c r="E46" t="s">
        <v>98</v>
      </c>
      <c r="F46" t="s">
        <v>100</v>
      </c>
      <c r="G46">
        <v>20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13</v>
      </c>
      <c r="K46" cm="1">
        <f t="array" ref="K46">IFERROR(AVERAGE(IF((OutputTable[GroupByKey]=OutputTable[[#This Row],[GroupByKey]]),(OutputTable[GroupByKey]=OutputTable[[#This Row],[GroupByKey]])*OutputTable[RecordedValue])),0)</f>
        <v>31.76923076923077</v>
      </c>
      <c r="L46" cm="1">
        <f t="array" ref="L46">IFERROR(_xlfn.STDEV.S(IF((OutputTable[GroupByKey]=OutputTable[[#This Row],[GroupByKey]]),(OutputTable[GroupByKey]=OutputTable[[#This Row],[GroupByKey]])*OutputTable[RecordedValue])),0)</f>
        <v>15.932952468358597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46" cm="1">
        <f t="array" ref="O46">MIN(IF((OutputTable[GroupByKey]=OutputTable[[#This Row],[GroupByKey]]),(OutputTable[GroupByKey]=OutputTable[[#This Row],[GroupByKey]])*OutputTable[RecordedValue]))</f>
        <v>10</v>
      </c>
      <c r="P46" cm="1">
        <f t="array" ref="P46">MAX(IF((OutputTable[GroupByKey]=OutputTable[[#This Row],[GroupByKey]]),(OutputTable[GroupByKey]=OutputTable[[#This Row],[GroupByKey]])*OutputTable[RecordedValue]))</f>
        <v>60</v>
      </c>
    </row>
    <row r="47" spans="1:16" x14ac:dyDescent="0.25">
      <c r="A47" t="s">
        <v>67</v>
      </c>
      <c r="B47" t="s">
        <v>107</v>
      </c>
      <c r="C47">
        <v>7</v>
      </c>
      <c r="D47" t="s">
        <v>101</v>
      </c>
      <c r="E47" t="s">
        <v>102</v>
      </c>
      <c r="F47" t="s">
        <v>91</v>
      </c>
      <c r="G47">
        <v>20</v>
      </c>
      <c r="H47">
        <v>0</v>
      </c>
      <c r="I47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13</v>
      </c>
      <c r="K47" cm="1">
        <f t="array" ref="K47">IFERROR(AVERAGE(IF((OutputTable[GroupByKey]=OutputTable[[#This Row],[GroupByKey]]),(OutputTable[GroupByKey]=OutputTable[[#This Row],[GroupByKey]])*OutputTable[RecordedValue])),0)</f>
        <v>32.692307692307693</v>
      </c>
      <c r="L47" cm="1">
        <f t="array" ref="L47">IFERROR(_xlfn.STDEV.S(IF((OutputTable[GroupByKey]=OutputTable[[#This Row],[GroupByKey]]),(OutputTable[GroupByKey]=OutputTable[[#This Row],[GroupByKey]])*OutputTable[RecordedValue])),0)</f>
        <v>16.504467149757847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47" cm="1">
        <f t="array" ref="O47">MIN(IF((OutputTable[GroupByKey]=OutputTable[[#This Row],[GroupByKey]]),(OutputTable[GroupByKey]=OutputTable[[#This Row],[GroupByKey]])*OutputTable[RecordedValue]))</f>
        <v>10</v>
      </c>
      <c r="P47" cm="1">
        <f t="array" ref="P47">MAX(IF((OutputTable[GroupByKey]=OutputTable[[#This Row],[GroupByKey]]),(OutputTable[GroupByKey]=OutputTable[[#This Row],[GroupByKey]])*OutputTable[RecordedValue]))</f>
        <v>60</v>
      </c>
    </row>
    <row r="48" spans="1:16" x14ac:dyDescent="0.25">
      <c r="A48" t="s">
        <v>67</v>
      </c>
      <c r="B48" t="s">
        <v>107</v>
      </c>
      <c r="C48">
        <v>7</v>
      </c>
      <c r="D48" t="s">
        <v>103</v>
      </c>
      <c r="E48" t="s">
        <v>104</v>
      </c>
      <c r="F48" t="s">
        <v>91</v>
      </c>
      <c r="G48">
        <v>0.42713655672003298</v>
      </c>
      <c r="H48">
        <v>0</v>
      </c>
      <c r="I48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13</v>
      </c>
      <c r="K48" cm="1">
        <f t="array" ref="K48">IFERROR(AVERAGE(IF((OutputTable[GroupByKey]=OutputTable[[#This Row],[GroupByKey]]),(OutputTable[GroupByKey]=OutputTable[[#This Row],[GroupByKey]])*OutputTable[RecordedValue])),0)</f>
        <v>0.5508272599640216</v>
      </c>
      <c r="L48" cm="1">
        <f t="array" ref="L48">IFERROR(_xlfn.STDEV.S(IF((OutputTable[GroupByKey]=OutputTable[[#This Row],[GroupByKey]]),(OutputTable[GroupByKey]=OutputTable[[#This Row],[GroupByKey]])*OutputTable[RecordedValue])),0)</f>
        <v>0.26071930751958244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48" cm="1">
        <f t="array" ref="O48">MIN(IF((OutputTable[GroupByKey]=OutputTable[[#This Row],[GroupByKey]]),(OutputTable[GroupByKey]=OutputTable[[#This Row],[GroupByKey]])*OutputTable[RecordedValue]))</f>
        <v>0.146598355861076</v>
      </c>
      <c r="P48" cm="1">
        <f t="array" ref="P48">MAX(IF((OutputTable[GroupByKey]=OutputTable[[#This Row],[GroupByKey]]),(OutputTable[GroupByKey]=OutputTable[[#This Row],[GroupByKey]])*OutputTable[RecordedValue]))</f>
        <v>0.91769977116840795</v>
      </c>
    </row>
    <row r="49" spans="1:16" x14ac:dyDescent="0.25">
      <c r="A49" t="s">
        <v>67</v>
      </c>
      <c r="B49" t="s">
        <v>107</v>
      </c>
      <c r="C49">
        <v>7</v>
      </c>
      <c r="D49" t="s">
        <v>105</v>
      </c>
      <c r="E49" t="s">
        <v>102</v>
      </c>
      <c r="F49" t="s">
        <v>91</v>
      </c>
      <c r="G49">
        <v>6</v>
      </c>
      <c r="H49">
        <v>0</v>
      </c>
      <c r="I49" t="str">
        <f>OutputTable[[#This Row],[ProjectName]]&amp;OutputTable[[#This Row],[Name]]&amp;OutputTable[[#This Row],[Type]]&amp;OutputTable[[#This Row],[Source]]</f>
        <v>Unnamed ProjectrTaladro.NumberSeizedTotal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13</v>
      </c>
      <c r="K49" cm="1">
        <f t="array" ref="K49">IFERROR(AVERAGE(IF((OutputTable[GroupByKey]=OutputTable[[#This Row],[GroupByKey]]),(OutputTable[GroupByKey]=OutputTable[[#This Row],[GroupByKey]])*OutputTable[RecordedValue])),0)</f>
        <v>11.153846153846153</v>
      </c>
      <c r="L49" cm="1">
        <f t="array" ref="L49">IFERROR(_xlfn.STDEV.S(IF((OutputTable[GroupByKey]=OutputTable[[#This Row],[GroupByKey]]),(OutputTable[GroupByKey]=OutputTable[[#This Row],[GroupByKey]])*OutputTable[RecordedValue])),0)</f>
        <v>5.6693055695583769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49" cm="1">
        <f t="array" ref="O49">MIN(IF((OutputTable[GroupByKey]=OutputTable[[#This Row],[GroupByKey]]),(OutputTable[GroupByKey]=OutputTable[[#This Row],[GroupByKey]])*OutputTable[RecordedValue]))</f>
        <v>4</v>
      </c>
      <c r="P49" cm="1">
        <f t="array" ref="P49">MAX(IF((OutputTable[GroupByKey]=OutputTable[[#This Row],[GroupByKey]]),(OutputTable[GroupByKey]=OutputTable[[#This Row],[GroupByKey]])*OutputTable[RecordedValue]))</f>
        <v>22</v>
      </c>
    </row>
    <row r="50" spans="1:16" x14ac:dyDescent="0.25">
      <c r="A50" t="s">
        <v>67</v>
      </c>
      <c r="B50" t="s">
        <v>107</v>
      </c>
      <c r="C50">
        <v>7</v>
      </c>
      <c r="D50" t="s">
        <v>106</v>
      </c>
      <c r="E50" t="s">
        <v>104</v>
      </c>
      <c r="F50" t="s">
        <v>91</v>
      </c>
      <c r="G50">
        <v>0.170910196296711</v>
      </c>
      <c r="H50">
        <v>0</v>
      </c>
      <c r="I50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13</v>
      </c>
      <c r="K50" cm="1">
        <f t="array" ref="K50">IFERROR(AVERAGE(IF((OutputTable[GroupByKey]=OutputTable[[#This Row],[GroupByKey]]),(OutputTable[GroupByKey]=OutputTable[[#This Row],[GroupByKey]])*OutputTable[RecordedValue])),0)</f>
        <v>0.28215676683758301</v>
      </c>
      <c r="L50" cm="1">
        <f t="array" ref="L50">IFERROR(_xlfn.STDEV.S(IF((OutputTable[GroupByKey]=OutputTable[[#This Row],[GroupByKey]]),(OutputTable[GroupByKey]=OutputTable[[#This Row],[GroupByKey]])*OutputTable[RecordedValue])),0)</f>
        <v>0.13987907795908774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50" cm="1">
        <f t="array" ref="O50">MIN(IF((OutputTable[GroupByKey]=OutputTable[[#This Row],[GroupByKey]]),(OutputTable[GroupByKey]=OutputTable[[#This Row],[GroupByKey]])*OutputTable[RecordedValue]))</f>
        <v>0.105150492315538</v>
      </c>
      <c r="P50" cm="1">
        <f t="array" ref="P50">MAX(IF((OutputTable[GroupByKey]=OutputTable[[#This Row],[GroupByKey]]),(OutputTable[GroupByKey]=OutputTable[[#This Row],[GroupByKey]])*OutputTable[RecordedValue]))</f>
        <v>0.53316656156980802</v>
      </c>
    </row>
    <row r="51" spans="1:16" x14ac:dyDescent="0.25">
      <c r="A51" t="s">
        <v>67</v>
      </c>
      <c r="B51" t="s">
        <v>107</v>
      </c>
      <c r="C51">
        <v>8</v>
      </c>
      <c r="D51" t="s">
        <v>95</v>
      </c>
      <c r="E51" t="s">
        <v>96</v>
      </c>
      <c r="F51" t="s">
        <v>75</v>
      </c>
      <c r="G51">
        <v>60</v>
      </c>
      <c r="H51">
        <v>0</v>
      </c>
      <c r="I51" t="str">
        <f>OutputTable[[#This Row],[ProjectName]]&amp;OutputTable[[#This Row],[Name]]&amp;OutputTable[[#This Row],[Type]]&amp;OutputTable[[#This Row],[Source]]</f>
        <v>Unnamed ProjectItems.NumberInNumber InEntity</v>
      </c>
      <c r="J51" cm="1">
        <f t="array" ref="J51">MAX(IF((ProjectInfoTable[ProjectName]=OutputTable[[#This Row],[ProjectName]]),(ProjectInfoTable[ProjectName]=OutputTable[[#This Row],[ProjectName]])*ProjectInfoTable[NumberOfReplications]))</f>
        <v>13</v>
      </c>
      <c r="K51" cm="1">
        <f t="array" ref="K51">IFERROR(AVERAGE(IF((OutputTable[GroupByKey]=OutputTable[[#This Row],[GroupByKey]]),(OutputTable[GroupByKey]=OutputTable[[#This Row],[GroupByKey]])*OutputTable[RecordedValue])),0)</f>
        <v>38.46153846153846</v>
      </c>
      <c r="L51" cm="1">
        <f t="array" ref="L51">IFERROR(_xlfn.STDEV.S(IF((OutputTable[GroupByKey]=OutputTable[[#This Row],[GroupByKey]]),(OutputTable[GroupByKey]=OutputTable[[#This Row],[GroupByKey]])*OutputTable[RecordedValue])),0)</f>
        <v>21.543039806456381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51" cm="1">
        <f t="array" ref="O51">MIN(IF((OutputTable[GroupByKey]=OutputTable[[#This Row],[GroupByKey]]),(OutputTable[GroupByKey]=OutputTable[[#This Row],[GroupByKey]])*OutputTable[RecordedValue]))</f>
        <v>10</v>
      </c>
      <c r="P51" cm="1">
        <f t="array" ref="P51">MAX(IF((OutputTable[GroupByKey]=OutputTable[[#This Row],[GroupByKey]]),(OutputTable[GroupByKey]=OutputTable[[#This Row],[GroupByKey]])*OutputTable[RecordedValue]))</f>
        <v>70</v>
      </c>
    </row>
    <row r="52" spans="1:16" x14ac:dyDescent="0.25">
      <c r="A52" t="s">
        <v>67</v>
      </c>
      <c r="B52" t="s">
        <v>107</v>
      </c>
      <c r="C52">
        <v>8</v>
      </c>
      <c r="D52" t="s">
        <v>97</v>
      </c>
      <c r="E52" t="s">
        <v>98</v>
      </c>
      <c r="F52" t="s">
        <v>75</v>
      </c>
      <c r="G52">
        <v>50</v>
      </c>
      <c r="H52">
        <v>0</v>
      </c>
      <c r="I52" t="str">
        <f>OutputTable[[#This Row],[ProjectName]]&amp;OutputTable[[#This Row],[Name]]&amp;OutputTable[[#This Row],[Type]]&amp;OutputTable[[#This Row],[Source]]</f>
        <v>Unnamed ProjectItems.NumberOutNumber OutEntity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13</v>
      </c>
      <c r="K52" cm="1">
        <f t="array" ref="K52">IFERROR(AVERAGE(IF((OutputTable[GroupByKey]=OutputTable[[#This Row],[GroupByKey]]),(OutputTable[GroupByKey]=OutputTable[[#This Row],[GroupByKey]])*OutputTable[RecordedValue])),0)</f>
        <v>31.76923076923077</v>
      </c>
      <c r="L52" cm="1">
        <f t="array" ref="L52">IFERROR(_xlfn.STDEV.S(IF((OutputTable[GroupByKey]=OutputTable[[#This Row],[GroupByKey]]),(OutputTable[GroupByKey]=OutputTable[[#This Row],[GroupByKey]])*OutputTable[RecordedValue])),0)</f>
        <v>15.932952468358597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52" cm="1">
        <f t="array" ref="O52">MIN(IF((OutputTable[GroupByKey]=OutputTable[[#This Row],[GroupByKey]]),(OutputTable[GroupByKey]=OutputTable[[#This Row],[GroupByKey]])*OutputTable[RecordedValue]))</f>
        <v>10</v>
      </c>
      <c r="P52" cm="1">
        <f t="array" ref="P52">MAX(IF((OutputTable[GroupByKey]=OutputTable[[#This Row],[GroupByKey]]),(OutputTable[GroupByKey]=OutputTable[[#This Row],[GroupByKey]])*OutputTable[RecordedValue]))</f>
        <v>60</v>
      </c>
    </row>
    <row r="53" spans="1:16" x14ac:dyDescent="0.25">
      <c r="A53" t="s">
        <v>67</v>
      </c>
      <c r="B53" t="s">
        <v>107</v>
      </c>
      <c r="C53">
        <v>8</v>
      </c>
      <c r="D53" t="s">
        <v>99</v>
      </c>
      <c r="E53" t="s">
        <v>98</v>
      </c>
      <c r="F53" t="s">
        <v>100</v>
      </c>
      <c r="G53">
        <v>50</v>
      </c>
      <c r="H53">
        <v>0</v>
      </c>
      <c r="I53" t="str">
        <f>OutputTable[[#This Row],[ProjectName]]&amp;OutputTable[[#This Row],[Name]]&amp;OutputTable[[#This Row],[Type]]&amp;OutputTable[[#This Row],[Source]]</f>
        <v>Unnamed ProjectSystem.NumberOutNumber OutSystem</v>
      </c>
      <c r="J53" cm="1">
        <f t="array" ref="J53">MAX(IF((ProjectInfoTable[ProjectName]=OutputTable[[#This Row],[ProjectName]]),(ProjectInfoTable[ProjectName]=OutputTable[[#This Row],[ProjectName]])*ProjectInfoTable[NumberOfReplications]))</f>
        <v>13</v>
      </c>
      <c r="K53" cm="1">
        <f t="array" ref="K53">IFERROR(AVERAGE(IF((OutputTable[GroupByKey]=OutputTable[[#This Row],[GroupByKey]]),(OutputTable[GroupByKey]=OutputTable[[#This Row],[GroupByKey]])*OutputTable[RecordedValue])),0)</f>
        <v>31.76923076923077</v>
      </c>
      <c r="L53" cm="1">
        <f t="array" ref="L53">IFERROR(_xlfn.STDEV.S(IF((OutputTable[GroupByKey]=OutputTable[[#This Row],[GroupByKey]]),(OutputTable[GroupByKey]=OutputTable[[#This Row],[GroupByKey]])*OutputTable[RecordedValue])),0)</f>
        <v>15.932952468358597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53" cm="1">
        <f t="array" ref="O53">MIN(IF((OutputTable[GroupByKey]=OutputTable[[#This Row],[GroupByKey]]),(OutputTable[GroupByKey]=OutputTable[[#This Row],[GroupByKey]])*OutputTable[RecordedValue]))</f>
        <v>10</v>
      </c>
      <c r="P53" cm="1">
        <f t="array" ref="P53">MAX(IF((OutputTable[GroupByKey]=OutputTable[[#This Row],[GroupByKey]]),(OutputTable[GroupByKey]=OutputTable[[#This Row],[GroupByKey]])*OutputTable[RecordedValue]))</f>
        <v>60</v>
      </c>
    </row>
    <row r="54" spans="1:16" x14ac:dyDescent="0.25">
      <c r="A54" t="s">
        <v>67</v>
      </c>
      <c r="B54" t="s">
        <v>107</v>
      </c>
      <c r="C54">
        <v>8</v>
      </c>
      <c r="D54" t="s">
        <v>101</v>
      </c>
      <c r="E54" t="s">
        <v>102</v>
      </c>
      <c r="F54" t="s">
        <v>91</v>
      </c>
      <c r="G54">
        <v>52</v>
      </c>
      <c r="H54">
        <v>0</v>
      </c>
      <c r="I54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13</v>
      </c>
      <c r="K54" cm="1">
        <f t="array" ref="K54">IFERROR(AVERAGE(IF((OutputTable[GroupByKey]=OutputTable[[#This Row],[GroupByKey]]),(OutputTable[GroupByKey]=OutputTable[[#This Row],[GroupByKey]])*OutputTable[RecordedValue])),0)</f>
        <v>32.692307692307693</v>
      </c>
      <c r="L54" cm="1">
        <f t="array" ref="L54">IFERROR(_xlfn.STDEV.S(IF((OutputTable[GroupByKey]=OutputTable[[#This Row],[GroupByKey]]),(OutputTable[GroupByKey]=OutputTable[[#This Row],[GroupByKey]])*OutputTable[RecordedValue])),0)</f>
        <v>16.504467149757847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54" cm="1">
        <f t="array" ref="O54">MIN(IF((OutputTable[GroupByKey]=OutputTable[[#This Row],[GroupByKey]]),(OutputTable[GroupByKey]=OutputTable[[#This Row],[GroupByKey]])*OutputTable[RecordedValue]))</f>
        <v>10</v>
      </c>
      <c r="P54" cm="1">
        <f t="array" ref="P54">MAX(IF((OutputTable[GroupByKey]=OutputTable[[#This Row],[GroupByKey]]),(OutputTable[GroupByKey]=OutputTable[[#This Row],[GroupByKey]])*OutputTable[RecordedValue]))</f>
        <v>60</v>
      </c>
    </row>
    <row r="55" spans="1:16" x14ac:dyDescent="0.25">
      <c r="A55" t="s">
        <v>67</v>
      </c>
      <c r="B55" t="s">
        <v>107</v>
      </c>
      <c r="C55">
        <v>8</v>
      </c>
      <c r="D55" t="s">
        <v>103</v>
      </c>
      <c r="E55" t="s">
        <v>104</v>
      </c>
      <c r="F55" t="s">
        <v>91</v>
      </c>
      <c r="G55">
        <v>0.91769977116840795</v>
      </c>
      <c r="H55">
        <v>0</v>
      </c>
      <c r="I55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13</v>
      </c>
      <c r="K55" cm="1">
        <f t="array" ref="K55">IFERROR(AVERAGE(IF((OutputTable[GroupByKey]=OutputTable[[#This Row],[GroupByKey]]),(OutputTable[GroupByKey]=OutputTable[[#This Row],[GroupByKey]])*OutputTable[RecordedValue])),0)</f>
        <v>0.5508272599640216</v>
      </c>
      <c r="L55" cm="1">
        <f t="array" ref="L55">IFERROR(_xlfn.STDEV.S(IF((OutputTable[GroupByKey]=OutputTable[[#This Row],[GroupByKey]]),(OutputTable[GroupByKey]=OutputTable[[#This Row],[GroupByKey]])*OutputTable[RecordedValue])),0)</f>
        <v>0.26071930751958244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55" cm="1">
        <f t="array" ref="O55">MIN(IF((OutputTable[GroupByKey]=OutputTable[[#This Row],[GroupByKey]]),(OutputTable[GroupByKey]=OutputTable[[#This Row],[GroupByKey]])*OutputTable[RecordedValue]))</f>
        <v>0.146598355861076</v>
      </c>
      <c r="P55" cm="1">
        <f t="array" ref="P55">MAX(IF((OutputTable[GroupByKey]=OutputTable[[#This Row],[GroupByKey]]),(OutputTable[GroupByKey]=OutputTable[[#This Row],[GroupByKey]])*OutputTable[RecordedValue]))</f>
        <v>0.91769977116840795</v>
      </c>
    </row>
    <row r="56" spans="1:16" x14ac:dyDescent="0.25">
      <c r="A56" t="s">
        <v>67</v>
      </c>
      <c r="B56" t="s">
        <v>107</v>
      </c>
      <c r="C56">
        <v>8</v>
      </c>
      <c r="D56" t="s">
        <v>105</v>
      </c>
      <c r="E56" t="s">
        <v>102</v>
      </c>
      <c r="F56" t="s">
        <v>91</v>
      </c>
      <c r="G56">
        <v>12</v>
      </c>
      <c r="H56">
        <v>0</v>
      </c>
      <c r="I56" t="str">
        <f>OutputTable[[#This Row],[ProjectName]]&amp;OutputTable[[#This Row],[Name]]&amp;OutputTable[[#This Row],[Type]]&amp;OutputTable[[#This Row],[Source]]</f>
        <v>Unnamed ProjectrTaladro.NumberSeizedTotal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13</v>
      </c>
      <c r="K56" cm="1">
        <f t="array" ref="K56">IFERROR(AVERAGE(IF((OutputTable[GroupByKey]=OutputTable[[#This Row],[GroupByKey]]),(OutputTable[GroupByKey]=OutputTable[[#This Row],[GroupByKey]])*OutputTable[RecordedValue])),0)</f>
        <v>11.153846153846153</v>
      </c>
      <c r="L56" cm="1">
        <f t="array" ref="L56">IFERROR(_xlfn.STDEV.S(IF((OutputTable[GroupByKey]=OutputTable[[#This Row],[GroupByKey]]),(OutputTable[GroupByKey]=OutputTable[[#This Row],[GroupByKey]])*OutputTable[RecordedValue])),0)</f>
        <v>5.6693055695583769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56" cm="1">
        <f t="array" ref="O56">MIN(IF((OutputTable[GroupByKey]=OutputTable[[#This Row],[GroupByKey]]),(OutputTable[GroupByKey]=OutputTable[[#This Row],[GroupByKey]])*OutputTable[RecordedValue]))</f>
        <v>4</v>
      </c>
      <c r="P56" cm="1">
        <f t="array" ref="P56">MAX(IF((OutputTable[GroupByKey]=OutputTable[[#This Row],[GroupByKey]]),(OutputTable[GroupByKey]=OutputTable[[#This Row],[GroupByKey]])*OutputTable[RecordedValue]))</f>
        <v>22</v>
      </c>
    </row>
    <row r="57" spans="1:16" x14ac:dyDescent="0.25">
      <c r="A57" t="s">
        <v>67</v>
      </c>
      <c r="B57" t="s">
        <v>107</v>
      </c>
      <c r="C57">
        <v>8</v>
      </c>
      <c r="D57" t="s">
        <v>106</v>
      </c>
      <c r="E57" t="s">
        <v>104</v>
      </c>
      <c r="F57" t="s">
        <v>91</v>
      </c>
      <c r="G57">
        <v>0.30277926441613101</v>
      </c>
      <c r="H57">
        <v>0</v>
      </c>
      <c r="I57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13</v>
      </c>
      <c r="K57" cm="1">
        <f t="array" ref="K57">IFERROR(AVERAGE(IF((OutputTable[GroupByKey]=OutputTable[[#This Row],[GroupByKey]]),(OutputTable[GroupByKey]=OutputTable[[#This Row],[GroupByKey]])*OutputTable[RecordedValue])),0)</f>
        <v>0.28215676683758301</v>
      </c>
      <c r="L57" cm="1">
        <f t="array" ref="L57">IFERROR(_xlfn.STDEV.S(IF((OutputTable[GroupByKey]=OutputTable[[#This Row],[GroupByKey]]),(OutputTable[GroupByKey]=OutputTable[[#This Row],[GroupByKey]])*OutputTable[RecordedValue])),0)</f>
        <v>0.13987907795908774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57" cm="1">
        <f t="array" ref="O57">MIN(IF((OutputTable[GroupByKey]=OutputTable[[#This Row],[GroupByKey]]),(OutputTable[GroupByKey]=OutputTable[[#This Row],[GroupByKey]])*OutputTable[RecordedValue]))</f>
        <v>0.105150492315538</v>
      </c>
      <c r="P57" cm="1">
        <f t="array" ref="P57">MAX(IF((OutputTable[GroupByKey]=OutputTable[[#This Row],[GroupByKey]]),(OutputTable[GroupByKey]=OutputTable[[#This Row],[GroupByKey]])*OutputTable[RecordedValue]))</f>
        <v>0.53316656156980802</v>
      </c>
    </row>
    <row r="58" spans="1:16" x14ac:dyDescent="0.25">
      <c r="A58" t="s">
        <v>67</v>
      </c>
      <c r="B58" t="s">
        <v>107</v>
      </c>
      <c r="C58">
        <v>9</v>
      </c>
      <c r="D58" t="s">
        <v>95</v>
      </c>
      <c r="E58" t="s">
        <v>96</v>
      </c>
      <c r="F58" t="s">
        <v>75</v>
      </c>
      <c r="G58">
        <v>10</v>
      </c>
      <c r="H58">
        <v>0</v>
      </c>
      <c r="I58" t="str">
        <f>OutputTable[[#This Row],[ProjectName]]&amp;OutputTable[[#This Row],[Name]]&amp;OutputTable[[#This Row],[Type]]&amp;OutputTable[[#This Row],[Source]]</f>
        <v>Unnamed ProjectItems.NumberInNumber InEntity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13</v>
      </c>
      <c r="K58" cm="1">
        <f t="array" ref="K58">IFERROR(AVERAGE(IF((OutputTable[GroupByKey]=OutputTable[[#This Row],[GroupByKey]]),(OutputTable[GroupByKey]=OutputTable[[#This Row],[GroupByKey]])*OutputTable[RecordedValue])),0)</f>
        <v>38.46153846153846</v>
      </c>
      <c r="L58" cm="1">
        <f t="array" ref="L58">IFERROR(_xlfn.STDEV.S(IF((OutputTable[GroupByKey]=OutputTable[[#This Row],[GroupByKey]]),(OutputTable[GroupByKey]=OutputTable[[#This Row],[GroupByKey]])*OutputTable[RecordedValue])),0)</f>
        <v>21.543039806456381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58" cm="1">
        <f t="array" ref="O58">MIN(IF((OutputTable[GroupByKey]=OutputTable[[#This Row],[GroupByKey]]),(OutputTable[GroupByKey]=OutputTable[[#This Row],[GroupByKey]])*OutputTable[RecordedValue]))</f>
        <v>10</v>
      </c>
      <c r="P58" cm="1">
        <f t="array" ref="P58">MAX(IF((OutputTable[GroupByKey]=OutputTable[[#This Row],[GroupByKey]]),(OutputTable[GroupByKey]=OutputTable[[#This Row],[GroupByKey]])*OutputTable[RecordedValue]))</f>
        <v>70</v>
      </c>
    </row>
    <row r="59" spans="1:16" x14ac:dyDescent="0.25">
      <c r="A59" t="s">
        <v>67</v>
      </c>
      <c r="B59" t="s">
        <v>107</v>
      </c>
      <c r="C59">
        <v>9</v>
      </c>
      <c r="D59" t="s">
        <v>97</v>
      </c>
      <c r="E59" t="s">
        <v>98</v>
      </c>
      <c r="F59" t="s">
        <v>75</v>
      </c>
      <c r="G59">
        <v>10</v>
      </c>
      <c r="H59">
        <v>0</v>
      </c>
      <c r="I59" t="str">
        <f>OutputTable[[#This Row],[ProjectName]]&amp;OutputTable[[#This Row],[Name]]&amp;OutputTable[[#This Row],[Type]]&amp;OutputTable[[#This Row],[Source]]</f>
        <v>Unnamed ProjectItems.NumberOutNumber OutEntity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13</v>
      </c>
      <c r="K59" cm="1">
        <f t="array" ref="K59">IFERROR(AVERAGE(IF((OutputTable[GroupByKey]=OutputTable[[#This Row],[GroupByKey]]),(OutputTable[GroupByKey]=OutputTable[[#This Row],[GroupByKey]])*OutputTable[RecordedValue])),0)</f>
        <v>31.76923076923077</v>
      </c>
      <c r="L59" cm="1">
        <f t="array" ref="L59">IFERROR(_xlfn.STDEV.S(IF((OutputTable[GroupByKey]=OutputTable[[#This Row],[GroupByKey]]),(OutputTable[GroupByKey]=OutputTable[[#This Row],[GroupByKey]])*OutputTable[RecordedValue])),0)</f>
        <v>15.932952468358597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59" cm="1">
        <f t="array" ref="O59">MIN(IF((OutputTable[GroupByKey]=OutputTable[[#This Row],[GroupByKey]]),(OutputTable[GroupByKey]=OutputTable[[#This Row],[GroupByKey]])*OutputTable[RecordedValue]))</f>
        <v>10</v>
      </c>
      <c r="P59" cm="1">
        <f t="array" ref="P59">MAX(IF((OutputTable[GroupByKey]=OutputTable[[#This Row],[GroupByKey]]),(OutputTable[GroupByKey]=OutputTable[[#This Row],[GroupByKey]])*OutputTable[RecordedValue]))</f>
        <v>60</v>
      </c>
    </row>
    <row r="60" spans="1:16" x14ac:dyDescent="0.25">
      <c r="A60" t="s">
        <v>67</v>
      </c>
      <c r="B60" t="s">
        <v>107</v>
      </c>
      <c r="C60">
        <v>9</v>
      </c>
      <c r="D60" t="s">
        <v>99</v>
      </c>
      <c r="E60" t="s">
        <v>98</v>
      </c>
      <c r="F60" t="s">
        <v>100</v>
      </c>
      <c r="G60">
        <v>10</v>
      </c>
      <c r="H60">
        <v>0</v>
      </c>
      <c r="I60" t="str">
        <f>OutputTable[[#This Row],[ProjectName]]&amp;OutputTable[[#This Row],[Name]]&amp;OutputTable[[#This Row],[Type]]&amp;OutputTable[[#This Row],[Source]]</f>
        <v>Unnamed ProjectSystem.NumberOutNumber OutSystem</v>
      </c>
      <c r="J60" cm="1">
        <f t="array" ref="J60">MAX(IF((ProjectInfoTable[ProjectName]=OutputTable[[#This Row],[ProjectName]]),(ProjectInfoTable[ProjectName]=OutputTable[[#This Row],[ProjectName]])*ProjectInfoTable[NumberOfReplications]))</f>
        <v>13</v>
      </c>
      <c r="K60" cm="1">
        <f t="array" ref="K60">IFERROR(AVERAGE(IF((OutputTable[GroupByKey]=OutputTable[[#This Row],[GroupByKey]]),(OutputTable[GroupByKey]=OutputTable[[#This Row],[GroupByKey]])*OutputTable[RecordedValue])),0)</f>
        <v>31.76923076923077</v>
      </c>
      <c r="L60" cm="1">
        <f t="array" ref="L60">IFERROR(_xlfn.STDEV.S(IF((OutputTable[GroupByKey]=OutputTable[[#This Row],[GroupByKey]]),(OutputTable[GroupByKey]=OutputTable[[#This Row],[GroupByKey]])*OutputTable[RecordedValue])),0)</f>
        <v>15.932952468358597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60" cm="1">
        <f t="array" ref="O60">MIN(IF((OutputTable[GroupByKey]=OutputTable[[#This Row],[GroupByKey]]),(OutputTable[GroupByKey]=OutputTable[[#This Row],[GroupByKey]])*OutputTable[RecordedValue]))</f>
        <v>10</v>
      </c>
      <c r="P60" cm="1">
        <f t="array" ref="P60">MAX(IF((OutputTable[GroupByKey]=OutputTable[[#This Row],[GroupByKey]]),(OutputTable[GroupByKey]=OutputTable[[#This Row],[GroupByKey]])*OutputTable[RecordedValue]))</f>
        <v>60</v>
      </c>
    </row>
    <row r="61" spans="1:16" x14ac:dyDescent="0.25">
      <c r="A61" t="s">
        <v>67</v>
      </c>
      <c r="B61" t="s">
        <v>107</v>
      </c>
      <c r="C61">
        <v>9</v>
      </c>
      <c r="D61" t="s">
        <v>101</v>
      </c>
      <c r="E61" t="s">
        <v>102</v>
      </c>
      <c r="F61" t="s">
        <v>91</v>
      </c>
      <c r="G61">
        <v>10</v>
      </c>
      <c r="H61">
        <v>0</v>
      </c>
      <c r="I61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13</v>
      </c>
      <c r="K61" cm="1">
        <f t="array" ref="K61">IFERROR(AVERAGE(IF((OutputTable[GroupByKey]=OutputTable[[#This Row],[GroupByKey]]),(OutputTable[GroupByKey]=OutputTable[[#This Row],[GroupByKey]])*OutputTable[RecordedValue])),0)</f>
        <v>32.692307692307693</v>
      </c>
      <c r="L61" cm="1">
        <f t="array" ref="L61">IFERROR(_xlfn.STDEV.S(IF((OutputTable[GroupByKey]=OutputTable[[#This Row],[GroupByKey]]),(OutputTable[GroupByKey]=OutputTable[[#This Row],[GroupByKey]])*OutputTable[RecordedValue])),0)</f>
        <v>16.504467149757847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61" cm="1">
        <f t="array" ref="O61">MIN(IF((OutputTable[GroupByKey]=OutputTable[[#This Row],[GroupByKey]]),(OutputTable[GroupByKey]=OutputTable[[#This Row],[GroupByKey]])*OutputTable[RecordedValue]))</f>
        <v>10</v>
      </c>
      <c r="P61" cm="1">
        <f t="array" ref="P61">MAX(IF((OutputTable[GroupByKey]=OutputTable[[#This Row],[GroupByKey]]),(OutputTable[GroupByKey]=OutputTable[[#This Row],[GroupByKey]])*OutputTable[RecordedValue]))</f>
        <v>60</v>
      </c>
    </row>
    <row r="62" spans="1:16" x14ac:dyDescent="0.25">
      <c r="A62" t="s">
        <v>67</v>
      </c>
      <c r="B62" t="s">
        <v>107</v>
      </c>
      <c r="C62">
        <v>9</v>
      </c>
      <c r="D62" t="s">
        <v>103</v>
      </c>
      <c r="E62" t="s">
        <v>104</v>
      </c>
      <c r="F62" t="s">
        <v>91</v>
      </c>
      <c r="G62">
        <v>0.146598355861076</v>
      </c>
      <c r="H62">
        <v>0</v>
      </c>
      <c r="I62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13</v>
      </c>
      <c r="K62" cm="1">
        <f t="array" ref="K62">IFERROR(AVERAGE(IF((OutputTable[GroupByKey]=OutputTable[[#This Row],[GroupByKey]]),(OutputTable[GroupByKey]=OutputTable[[#This Row],[GroupByKey]])*OutputTable[RecordedValue])),0)</f>
        <v>0.5508272599640216</v>
      </c>
      <c r="L62" cm="1">
        <f t="array" ref="L62">IFERROR(_xlfn.STDEV.S(IF((OutputTable[GroupByKey]=OutputTable[[#This Row],[GroupByKey]]),(OutputTable[GroupByKey]=OutputTable[[#This Row],[GroupByKey]])*OutputTable[RecordedValue])),0)</f>
        <v>0.26071930751958244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62" cm="1">
        <f t="array" ref="O62">MIN(IF((OutputTable[GroupByKey]=OutputTable[[#This Row],[GroupByKey]]),(OutputTable[GroupByKey]=OutputTable[[#This Row],[GroupByKey]])*OutputTable[RecordedValue]))</f>
        <v>0.146598355861076</v>
      </c>
      <c r="P62" cm="1">
        <f t="array" ref="P62">MAX(IF((OutputTable[GroupByKey]=OutputTable[[#This Row],[GroupByKey]]),(OutputTable[GroupByKey]=OutputTable[[#This Row],[GroupByKey]])*OutputTable[RecordedValue]))</f>
        <v>0.91769977116840795</v>
      </c>
    </row>
    <row r="63" spans="1:16" x14ac:dyDescent="0.25">
      <c r="A63" t="s">
        <v>67</v>
      </c>
      <c r="B63" t="s">
        <v>107</v>
      </c>
      <c r="C63">
        <v>9</v>
      </c>
      <c r="D63" t="s">
        <v>105</v>
      </c>
      <c r="E63" t="s">
        <v>102</v>
      </c>
      <c r="F63" t="s">
        <v>91</v>
      </c>
      <c r="G63">
        <v>4</v>
      </c>
      <c r="H63">
        <v>0</v>
      </c>
      <c r="I63" t="str">
        <f>OutputTable[[#This Row],[ProjectName]]&amp;OutputTable[[#This Row],[Name]]&amp;OutputTable[[#This Row],[Type]]&amp;OutputTable[[#This Row],[Source]]</f>
        <v>Unnamed ProjectrTaladro.NumberSeizedTotal Number SeizedResource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13</v>
      </c>
      <c r="K63" cm="1">
        <f t="array" ref="K63">IFERROR(AVERAGE(IF((OutputTable[GroupByKey]=OutputTable[[#This Row],[GroupByKey]]),(OutputTable[GroupByKey]=OutputTable[[#This Row],[GroupByKey]])*OutputTable[RecordedValue])),0)</f>
        <v>11.153846153846153</v>
      </c>
      <c r="L63" cm="1">
        <f t="array" ref="L63">IFERROR(_xlfn.STDEV.S(IF((OutputTable[GroupByKey]=OutputTable[[#This Row],[GroupByKey]]),(OutputTable[GroupByKey]=OutputTable[[#This Row],[GroupByKey]])*OutputTable[RecordedValue])),0)</f>
        <v>5.6693055695583769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63" cm="1">
        <f t="array" ref="O63">MIN(IF((OutputTable[GroupByKey]=OutputTable[[#This Row],[GroupByKey]]),(OutputTable[GroupByKey]=OutputTable[[#This Row],[GroupByKey]])*OutputTable[RecordedValue]))</f>
        <v>4</v>
      </c>
      <c r="P63" cm="1">
        <f t="array" ref="P63">MAX(IF((OutputTable[GroupByKey]=OutputTable[[#This Row],[GroupByKey]]),(OutputTable[GroupByKey]=OutputTable[[#This Row],[GroupByKey]])*OutputTable[RecordedValue]))</f>
        <v>22</v>
      </c>
    </row>
    <row r="64" spans="1:16" x14ac:dyDescent="0.25">
      <c r="A64" t="s">
        <v>67</v>
      </c>
      <c r="B64" t="s">
        <v>107</v>
      </c>
      <c r="C64">
        <v>9</v>
      </c>
      <c r="D64" t="s">
        <v>106</v>
      </c>
      <c r="E64" t="s">
        <v>104</v>
      </c>
      <c r="F64" t="s">
        <v>91</v>
      </c>
      <c r="G64">
        <v>0.10573975585809101</v>
      </c>
      <c r="H64">
        <v>0</v>
      </c>
      <c r="I64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13</v>
      </c>
      <c r="K64" cm="1">
        <f t="array" ref="K64">IFERROR(AVERAGE(IF((OutputTable[GroupByKey]=OutputTable[[#This Row],[GroupByKey]]),(OutputTable[GroupByKey]=OutputTable[[#This Row],[GroupByKey]])*OutputTable[RecordedValue])),0)</f>
        <v>0.28215676683758301</v>
      </c>
      <c r="L64" cm="1">
        <f t="array" ref="L64">IFERROR(_xlfn.STDEV.S(IF((OutputTable[GroupByKey]=OutputTable[[#This Row],[GroupByKey]]),(OutputTable[GroupByKey]=OutputTable[[#This Row],[GroupByKey]])*OutputTable[RecordedValue])),0)</f>
        <v>0.13987907795908774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64" cm="1">
        <f t="array" ref="O64">MIN(IF((OutputTable[GroupByKey]=OutputTable[[#This Row],[GroupByKey]]),(OutputTable[GroupByKey]=OutputTable[[#This Row],[GroupByKey]])*OutputTable[RecordedValue]))</f>
        <v>0.105150492315538</v>
      </c>
      <c r="P64" cm="1">
        <f t="array" ref="P64">MAX(IF((OutputTable[GroupByKey]=OutputTable[[#This Row],[GroupByKey]]),(OutputTable[GroupByKey]=OutputTable[[#This Row],[GroupByKey]])*OutputTable[RecordedValue]))</f>
        <v>0.53316656156980802</v>
      </c>
    </row>
    <row r="65" spans="1:16" x14ac:dyDescent="0.25">
      <c r="A65" t="s">
        <v>67</v>
      </c>
      <c r="B65" t="s">
        <v>107</v>
      </c>
      <c r="C65">
        <v>10</v>
      </c>
      <c r="D65" t="s">
        <v>95</v>
      </c>
      <c r="E65" t="s">
        <v>96</v>
      </c>
      <c r="F65" t="s">
        <v>75</v>
      </c>
      <c r="G65">
        <v>70</v>
      </c>
      <c r="H65">
        <v>0</v>
      </c>
      <c r="I65" t="str">
        <f>OutputTable[[#This Row],[ProjectName]]&amp;OutputTable[[#This Row],[Name]]&amp;OutputTable[[#This Row],[Type]]&amp;OutputTable[[#This Row],[Source]]</f>
        <v>Unnamed ProjectItems.NumberInNumber InEntity</v>
      </c>
      <c r="J65" cm="1">
        <f t="array" ref="J65">MAX(IF((ProjectInfoTable[ProjectName]=OutputTable[[#This Row],[ProjectName]]),(ProjectInfoTable[ProjectName]=OutputTable[[#This Row],[ProjectName]])*ProjectInfoTable[NumberOfReplications]))</f>
        <v>13</v>
      </c>
      <c r="K65" cm="1">
        <f t="array" ref="K65">IFERROR(AVERAGE(IF((OutputTable[GroupByKey]=OutputTable[[#This Row],[GroupByKey]]),(OutputTable[GroupByKey]=OutputTable[[#This Row],[GroupByKey]])*OutputTable[RecordedValue])),0)</f>
        <v>38.46153846153846</v>
      </c>
      <c r="L65" cm="1">
        <f t="array" ref="L65">IFERROR(_xlfn.STDEV.S(IF((OutputTable[GroupByKey]=OutputTable[[#This Row],[GroupByKey]]),(OutputTable[GroupByKey]=OutputTable[[#This Row],[GroupByKey]])*OutputTable[RecordedValue])),0)</f>
        <v>21.543039806456381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65" cm="1">
        <f t="array" ref="O65">MIN(IF((OutputTable[GroupByKey]=OutputTable[[#This Row],[GroupByKey]]),(OutputTable[GroupByKey]=OutputTable[[#This Row],[GroupByKey]])*OutputTable[RecordedValue]))</f>
        <v>10</v>
      </c>
      <c r="P65" cm="1">
        <f t="array" ref="P65">MAX(IF((OutputTable[GroupByKey]=OutputTable[[#This Row],[GroupByKey]]),(OutputTable[GroupByKey]=OutputTable[[#This Row],[GroupByKey]])*OutputTable[RecordedValue]))</f>
        <v>70</v>
      </c>
    </row>
    <row r="66" spans="1:16" x14ac:dyDescent="0.25">
      <c r="A66" t="s">
        <v>67</v>
      </c>
      <c r="B66" t="s">
        <v>107</v>
      </c>
      <c r="C66">
        <v>10</v>
      </c>
      <c r="D66" t="s">
        <v>97</v>
      </c>
      <c r="E66" t="s">
        <v>98</v>
      </c>
      <c r="F66" t="s">
        <v>75</v>
      </c>
      <c r="G66">
        <v>44</v>
      </c>
      <c r="H66">
        <v>0</v>
      </c>
      <c r="I66" t="str">
        <f>OutputTable[[#This Row],[ProjectName]]&amp;OutputTable[[#This Row],[Name]]&amp;OutputTable[[#This Row],[Type]]&amp;OutputTable[[#This Row],[Source]]</f>
        <v>Unnamed ProjectItems.NumberOutNumber OutEntity</v>
      </c>
      <c r="J66" cm="1">
        <f t="array" ref="J66">MAX(IF((ProjectInfoTable[ProjectName]=OutputTable[[#This Row],[ProjectName]]),(ProjectInfoTable[ProjectName]=OutputTable[[#This Row],[ProjectName]])*ProjectInfoTable[NumberOfReplications]))</f>
        <v>13</v>
      </c>
      <c r="K66" cm="1">
        <f t="array" ref="K66">IFERROR(AVERAGE(IF((OutputTable[GroupByKey]=OutputTable[[#This Row],[GroupByKey]]),(OutputTable[GroupByKey]=OutputTable[[#This Row],[GroupByKey]])*OutputTable[RecordedValue])),0)</f>
        <v>31.76923076923077</v>
      </c>
      <c r="L66" cm="1">
        <f t="array" ref="L66">IFERROR(_xlfn.STDEV.S(IF((OutputTable[GroupByKey]=OutputTable[[#This Row],[GroupByKey]]),(OutputTable[GroupByKey]=OutputTable[[#This Row],[GroupByKey]])*OutputTable[RecordedValue])),0)</f>
        <v>15.932952468358597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66" cm="1">
        <f t="array" ref="O66">MIN(IF((OutputTable[GroupByKey]=OutputTable[[#This Row],[GroupByKey]]),(OutputTable[GroupByKey]=OutputTable[[#This Row],[GroupByKey]])*OutputTable[RecordedValue]))</f>
        <v>10</v>
      </c>
      <c r="P66" cm="1">
        <f t="array" ref="P66">MAX(IF((OutputTable[GroupByKey]=OutputTable[[#This Row],[GroupByKey]]),(OutputTable[GroupByKey]=OutputTable[[#This Row],[GroupByKey]])*OutputTable[RecordedValue]))</f>
        <v>60</v>
      </c>
    </row>
    <row r="67" spans="1:16" x14ac:dyDescent="0.25">
      <c r="A67" t="s">
        <v>67</v>
      </c>
      <c r="B67" t="s">
        <v>107</v>
      </c>
      <c r="C67">
        <v>10</v>
      </c>
      <c r="D67" t="s">
        <v>99</v>
      </c>
      <c r="E67" t="s">
        <v>98</v>
      </c>
      <c r="F67" t="s">
        <v>100</v>
      </c>
      <c r="G67">
        <v>44</v>
      </c>
      <c r="H67">
        <v>0</v>
      </c>
      <c r="I67" t="str">
        <f>OutputTable[[#This Row],[ProjectName]]&amp;OutputTable[[#This Row],[Name]]&amp;OutputTable[[#This Row],[Type]]&amp;OutputTable[[#This Row],[Source]]</f>
        <v>Unnamed ProjectSystem.NumberOutNumber OutSystem</v>
      </c>
      <c r="J67" cm="1">
        <f t="array" ref="J67">MAX(IF((ProjectInfoTable[ProjectName]=OutputTable[[#This Row],[ProjectName]]),(ProjectInfoTable[ProjectName]=OutputTable[[#This Row],[ProjectName]])*ProjectInfoTable[NumberOfReplications]))</f>
        <v>13</v>
      </c>
      <c r="K67" cm="1">
        <f t="array" ref="K67">IFERROR(AVERAGE(IF((OutputTable[GroupByKey]=OutputTable[[#This Row],[GroupByKey]]),(OutputTable[GroupByKey]=OutputTable[[#This Row],[GroupByKey]])*OutputTable[RecordedValue])),0)</f>
        <v>31.76923076923077</v>
      </c>
      <c r="L67" cm="1">
        <f t="array" ref="L67">IFERROR(_xlfn.STDEV.S(IF((OutputTable[GroupByKey]=OutputTable[[#This Row],[GroupByKey]]),(OutputTable[GroupByKey]=OutputTable[[#This Row],[GroupByKey]])*OutputTable[RecordedValue])),0)</f>
        <v>15.932952468358597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67" cm="1">
        <f t="array" ref="O67">MIN(IF((OutputTable[GroupByKey]=OutputTable[[#This Row],[GroupByKey]]),(OutputTable[GroupByKey]=OutputTable[[#This Row],[GroupByKey]])*OutputTable[RecordedValue]))</f>
        <v>10</v>
      </c>
      <c r="P67" cm="1">
        <f t="array" ref="P67">MAX(IF((OutputTable[GroupByKey]=OutputTable[[#This Row],[GroupByKey]]),(OutputTable[GroupByKey]=OutputTable[[#This Row],[GroupByKey]])*OutputTable[RecordedValue]))</f>
        <v>60</v>
      </c>
    </row>
    <row r="68" spans="1:16" x14ac:dyDescent="0.25">
      <c r="A68" t="s">
        <v>67</v>
      </c>
      <c r="B68" t="s">
        <v>107</v>
      </c>
      <c r="C68">
        <v>10</v>
      </c>
      <c r="D68" t="s">
        <v>101</v>
      </c>
      <c r="E68" t="s">
        <v>102</v>
      </c>
      <c r="F68" t="s">
        <v>91</v>
      </c>
      <c r="G68">
        <v>46</v>
      </c>
      <c r="H68">
        <v>0</v>
      </c>
      <c r="I68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13</v>
      </c>
      <c r="K68" cm="1">
        <f t="array" ref="K68">IFERROR(AVERAGE(IF((OutputTable[GroupByKey]=OutputTable[[#This Row],[GroupByKey]]),(OutputTable[GroupByKey]=OutputTable[[#This Row],[GroupByKey]])*OutputTable[RecordedValue])),0)</f>
        <v>32.692307692307693</v>
      </c>
      <c r="L68" cm="1">
        <f t="array" ref="L68">IFERROR(_xlfn.STDEV.S(IF((OutputTable[GroupByKey]=OutputTable[[#This Row],[GroupByKey]]),(OutputTable[GroupByKey]=OutputTable[[#This Row],[GroupByKey]])*OutputTable[RecordedValue])),0)</f>
        <v>16.504467149757847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68" cm="1">
        <f t="array" ref="O68">MIN(IF((OutputTable[GroupByKey]=OutputTable[[#This Row],[GroupByKey]]),(OutputTable[GroupByKey]=OutputTable[[#This Row],[GroupByKey]])*OutputTable[RecordedValue]))</f>
        <v>10</v>
      </c>
      <c r="P68" cm="1">
        <f t="array" ref="P68">MAX(IF((OutputTable[GroupByKey]=OutputTable[[#This Row],[GroupByKey]]),(OutputTable[GroupByKey]=OutputTable[[#This Row],[GroupByKey]])*OutputTable[RecordedValue]))</f>
        <v>60</v>
      </c>
    </row>
    <row r="69" spans="1:16" x14ac:dyDescent="0.25">
      <c r="A69" t="s">
        <v>67</v>
      </c>
      <c r="B69" t="s">
        <v>107</v>
      </c>
      <c r="C69">
        <v>10</v>
      </c>
      <c r="D69" t="s">
        <v>103</v>
      </c>
      <c r="E69" t="s">
        <v>104</v>
      </c>
      <c r="F69" t="s">
        <v>91</v>
      </c>
      <c r="G69">
        <v>0.73296915102496596</v>
      </c>
      <c r="H69">
        <v>0</v>
      </c>
      <c r="I69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13</v>
      </c>
      <c r="K69" cm="1">
        <f t="array" ref="K69">IFERROR(AVERAGE(IF((OutputTable[GroupByKey]=OutputTable[[#This Row],[GroupByKey]]),(OutputTable[GroupByKey]=OutputTable[[#This Row],[GroupByKey]])*OutputTable[RecordedValue])),0)</f>
        <v>0.5508272599640216</v>
      </c>
      <c r="L69" cm="1">
        <f t="array" ref="L69">IFERROR(_xlfn.STDEV.S(IF((OutputTable[GroupByKey]=OutputTable[[#This Row],[GroupByKey]]),(OutputTable[GroupByKey]=OutputTable[[#This Row],[GroupByKey]])*OutputTable[RecordedValue])),0)</f>
        <v>0.26071930751958244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69" cm="1">
        <f t="array" ref="O69">MIN(IF((OutputTable[GroupByKey]=OutputTable[[#This Row],[GroupByKey]]),(OutputTable[GroupByKey]=OutputTable[[#This Row],[GroupByKey]])*OutputTable[RecordedValue]))</f>
        <v>0.146598355861076</v>
      </c>
      <c r="P69" cm="1">
        <f t="array" ref="P69">MAX(IF((OutputTable[GroupByKey]=OutputTable[[#This Row],[GroupByKey]]),(OutputTable[GroupByKey]=OutputTable[[#This Row],[GroupByKey]])*OutputTable[RecordedValue]))</f>
        <v>0.91769977116840795</v>
      </c>
    </row>
    <row r="70" spans="1:16" x14ac:dyDescent="0.25">
      <c r="A70" t="s">
        <v>67</v>
      </c>
      <c r="B70" t="s">
        <v>107</v>
      </c>
      <c r="C70">
        <v>10</v>
      </c>
      <c r="D70" t="s">
        <v>105</v>
      </c>
      <c r="E70" t="s">
        <v>102</v>
      </c>
      <c r="F70" t="s">
        <v>91</v>
      </c>
      <c r="G70">
        <v>22</v>
      </c>
      <c r="H70">
        <v>0</v>
      </c>
      <c r="I70" t="str">
        <f>OutputTable[[#This Row],[ProjectName]]&amp;OutputTable[[#This Row],[Name]]&amp;OutputTable[[#This Row],[Type]]&amp;OutputTable[[#This Row],[Source]]</f>
        <v>Unnamed ProjectrTaladro.NumberSeizedTotal Number SeizedResource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13</v>
      </c>
      <c r="K70" cm="1">
        <f t="array" ref="K70">IFERROR(AVERAGE(IF((OutputTable[GroupByKey]=OutputTable[[#This Row],[GroupByKey]]),(OutputTable[GroupByKey]=OutputTable[[#This Row],[GroupByKey]])*OutputTable[RecordedValue])),0)</f>
        <v>11.153846153846153</v>
      </c>
      <c r="L70" cm="1">
        <f t="array" ref="L70">IFERROR(_xlfn.STDEV.S(IF((OutputTable[GroupByKey]=OutputTable[[#This Row],[GroupByKey]]),(OutputTable[GroupByKey]=OutputTable[[#This Row],[GroupByKey]])*OutputTable[RecordedValue])),0)</f>
        <v>5.6693055695583769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70" cm="1">
        <f t="array" ref="O70">MIN(IF((OutputTable[GroupByKey]=OutputTable[[#This Row],[GroupByKey]]),(OutputTable[GroupByKey]=OutputTable[[#This Row],[GroupByKey]])*OutputTable[RecordedValue]))</f>
        <v>4</v>
      </c>
      <c r="P70" cm="1">
        <f t="array" ref="P70">MAX(IF((OutputTable[GroupByKey]=OutputTable[[#This Row],[GroupByKey]]),(OutputTable[GroupByKey]=OutputTable[[#This Row],[GroupByKey]])*OutputTable[RecordedValue]))</f>
        <v>22</v>
      </c>
    </row>
    <row r="71" spans="1:16" x14ac:dyDescent="0.25">
      <c r="A71" t="s">
        <v>67</v>
      </c>
      <c r="B71" t="s">
        <v>107</v>
      </c>
      <c r="C71">
        <v>10</v>
      </c>
      <c r="D71" t="s">
        <v>106</v>
      </c>
      <c r="E71" t="s">
        <v>104</v>
      </c>
      <c r="F71" t="s">
        <v>91</v>
      </c>
      <c r="G71">
        <v>0.53316656156980802</v>
      </c>
      <c r="H71">
        <v>0</v>
      </c>
      <c r="I71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71" cm="1">
        <f t="array" ref="J71">MAX(IF((ProjectInfoTable[ProjectName]=OutputTable[[#This Row],[ProjectName]]),(ProjectInfoTable[ProjectName]=OutputTable[[#This Row],[ProjectName]])*ProjectInfoTable[NumberOfReplications]))</f>
        <v>13</v>
      </c>
      <c r="K71" cm="1">
        <f t="array" ref="K71">IFERROR(AVERAGE(IF((OutputTable[GroupByKey]=OutputTable[[#This Row],[GroupByKey]]),(OutputTable[GroupByKey]=OutputTable[[#This Row],[GroupByKey]])*OutputTable[RecordedValue])),0)</f>
        <v>0.28215676683758301</v>
      </c>
      <c r="L71" cm="1">
        <f t="array" ref="L71">IFERROR(_xlfn.STDEV.S(IF((OutputTable[GroupByKey]=OutputTable[[#This Row],[GroupByKey]]),(OutputTable[GroupByKey]=OutputTable[[#This Row],[GroupByKey]])*OutputTable[RecordedValue])),0)</f>
        <v>0.13987907795908774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71" cm="1">
        <f t="array" ref="O71">MIN(IF((OutputTable[GroupByKey]=OutputTable[[#This Row],[GroupByKey]]),(OutputTable[GroupByKey]=OutputTable[[#This Row],[GroupByKey]])*OutputTable[RecordedValue]))</f>
        <v>0.105150492315538</v>
      </c>
      <c r="P71" cm="1">
        <f t="array" ref="P71">MAX(IF((OutputTable[GroupByKey]=OutputTable[[#This Row],[GroupByKey]]),(OutputTable[GroupByKey]=OutputTable[[#This Row],[GroupByKey]])*OutputTable[RecordedValue]))</f>
        <v>0.53316656156980802</v>
      </c>
    </row>
    <row r="72" spans="1:16" x14ac:dyDescent="0.25">
      <c r="A72" t="s">
        <v>67</v>
      </c>
      <c r="B72" t="s">
        <v>107</v>
      </c>
      <c r="C72">
        <v>11</v>
      </c>
      <c r="D72" t="s">
        <v>95</v>
      </c>
      <c r="E72" t="s">
        <v>96</v>
      </c>
      <c r="F72" t="s">
        <v>75</v>
      </c>
      <c r="G72">
        <v>60</v>
      </c>
      <c r="H72">
        <v>0</v>
      </c>
      <c r="I72" t="str">
        <f>OutputTable[[#This Row],[ProjectName]]&amp;OutputTable[[#This Row],[Name]]&amp;OutputTable[[#This Row],[Type]]&amp;OutputTable[[#This Row],[Source]]</f>
        <v>Unnamed ProjectItems.NumberInNumber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13</v>
      </c>
      <c r="K72" cm="1">
        <f t="array" ref="K72">IFERROR(AVERAGE(IF((OutputTable[GroupByKey]=OutputTable[[#This Row],[GroupByKey]]),(OutputTable[GroupByKey]=OutputTable[[#This Row],[GroupByKey]])*OutputTable[RecordedValue])),0)</f>
        <v>38.46153846153846</v>
      </c>
      <c r="L72" cm="1">
        <f t="array" ref="L72">IFERROR(_xlfn.STDEV.S(IF((OutputTable[GroupByKey]=OutputTable[[#This Row],[GroupByKey]]),(OutputTable[GroupByKey]=OutputTable[[#This Row],[GroupByKey]])*OutputTable[RecordedValue])),0)</f>
        <v>21.543039806456381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72" cm="1">
        <f t="array" ref="O72">MIN(IF((OutputTable[GroupByKey]=OutputTable[[#This Row],[GroupByKey]]),(OutputTable[GroupByKey]=OutputTable[[#This Row],[GroupByKey]])*OutputTable[RecordedValue]))</f>
        <v>10</v>
      </c>
      <c r="P72" cm="1">
        <f t="array" ref="P72">MAX(IF((OutputTable[GroupByKey]=OutputTable[[#This Row],[GroupByKey]]),(OutputTable[GroupByKey]=OutputTable[[#This Row],[GroupByKey]])*OutputTable[RecordedValue]))</f>
        <v>70</v>
      </c>
    </row>
    <row r="73" spans="1:16" x14ac:dyDescent="0.25">
      <c r="A73" t="s">
        <v>67</v>
      </c>
      <c r="B73" t="s">
        <v>107</v>
      </c>
      <c r="C73">
        <v>11</v>
      </c>
      <c r="D73" t="s">
        <v>97</v>
      </c>
      <c r="E73" t="s">
        <v>98</v>
      </c>
      <c r="F73" t="s">
        <v>75</v>
      </c>
      <c r="G73">
        <v>35</v>
      </c>
      <c r="H73">
        <v>0</v>
      </c>
      <c r="I73" t="str">
        <f>OutputTable[[#This Row],[ProjectName]]&amp;OutputTable[[#This Row],[Name]]&amp;OutputTable[[#This Row],[Type]]&amp;OutputTable[[#This Row],[Source]]</f>
        <v>Unnamed ProjectItems.NumberOutNumber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13</v>
      </c>
      <c r="K73" cm="1">
        <f t="array" ref="K73">IFERROR(AVERAGE(IF((OutputTable[GroupByKey]=OutputTable[[#This Row],[GroupByKey]]),(OutputTable[GroupByKey]=OutputTable[[#This Row],[GroupByKey]])*OutputTable[RecordedValue])),0)</f>
        <v>31.76923076923077</v>
      </c>
      <c r="L73" cm="1">
        <f t="array" ref="L73">IFERROR(_xlfn.STDEV.S(IF((OutputTable[GroupByKey]=OutputTable[[#This Row],[GroupByKey]]),(OutputTable[GroupByKey]=OutputTable[[#This Row],[GroupByKey]])*OutputTable[RecordedValue])),0)</f>
        <v>15.932952468358597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73" cm="1">
        <f t="array" ref="O73">MIN(IF((OutputTable[GroupByKey]=OutputTable[[#This Row],[GroupByKey]]),(OutputTable[GroupByKey]=OutputTable[[#This Row],[GroupByKey]])*OutputTable[RecordedValue]))</f>
        <v>10</v>
      </c>
      <c r="P73" cm="1">
        <f t="array" ref="P73">MAX(IF((OutputTable[GroupByKey]=OutputTable[[#This Row],[GroupByKey]]),(OutputTable[GroupByKey]=OutputTable[[#This Row],[GroupByKey]])*OutputTable[RecordedValue]))</f>
        <v>60</v>
      </c>
    </row>
    <row r="74" spans="1:16" x14ac:dyDescent="0.25">
      <c r="A74" t="s">
        <v>67</v>
      </c>
      <c r="B74" t="s">
        <v>107</v>
      </c>
      <c r="C74">
        <v>11</v>
      </c>
      <c r="D74" t="s">
        <v>99</v>
      </c>
      <c r="E74" t="s">
        <v>98</v>
      </c>
      <c r="F74" t="s">
        <v>100</v>
      </c>
      <c r="G74">
        <v>35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ProjectSystem.NumberOutNumber OutSystem</v>
      </c>
      <c r="J74" cm="1">
        <f t="array" ref="J74">MAX(IF((ProjectInfoTable[ProjectName]=OutputTable[[#This Row],[ProjectName]]),(ProjectInfoTable[ProjectName]=OutputTable[[#This Row],[ProjectName]])*ProjectInfoTable[NumberOfReplications]))</f>
        <v>13</v>
      </c>
      <c r="K74" cm="1">
        <f t="array" ref="K74">IFERROR(AVERAGE(IF((OutputTable[GroupByKey]=OutputTable[[#This Row],[GroupByKey]]),(OutputTable[GroupByKey]=OutputTable[[#This Row],[GroupByKey]])*OutputTable[RecordedValue])),0)</f>
        <v>31.76923076923077</v>
      </c>
      <c r="L74" cm="1">
        <f t="array" ref="L74">IFERROR(_xlfn.STDEV.S(IF((OutputTable[GroupByKey]=OutputTable[[#This Row],[GroupByKey]]),(OutputTable[GroupByKey]=OutputTable[[#This Row],[GroupByKey]])*OutputTable[RecordedValue])),0)</f>
        <v>15.932952468358597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74" cm="1">
        <f t="array" ref="O74">MIN(IF((OutputTable[GroupByKey]=OutputTable[[#This Row],[GroupByKey]]),(OutputTable[GroupByKey]=OutputTable[[#This Row],[GroupByKey]])*OutputTable[RecordedValue]))</f>
        <v>10</v>
      </c>
      <c r="P74" cm="1">
        <f t="array" ref="P74">MAX(IF((OutputTable[GroupByKey]=OutputTable[[#This Row],[GroupByKey]]),(OutputTable[GroupByKey]=OutputTable[[#This Row],[GroupByKey]])*OutputTable[RecordedValue]))</f>
        <v>60</v>
      </c>
    </row>
    <row r="75" spans="1:16" x14ac:dyDescent="0.25">
      <c r="A75" t="s">
        <v>67</v>
      </c>
      <c r="B75" t="s">
        <v>107</v>
      </c>
      <c r="C75">
        <v>11</v>
      </c>
      <c r="D75" t="s">
        <v>101</v>
      </c>
      <c r="E75" t="s">
        <v>102</v>
      </c>
      <c r="F75" t="s">
        <v>91</v>
      </c>
      <c r="G75">
        <v>37</v>
      </c>
      <c r="H75">
        <v>0</v>
      </c>
      <c r="I75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13</v>
      </c>
      <c r="K75" cm="1">
        <f t="array" ref="K75">IFERROR(AVERAGE(IF((OutputTable[GroupByKey]=OutputTable[[#This Row],[GroupByKey]]),(OutputTable[GroupByKey]=OutputTable[[#This Row],[GroupByKey]])*OutputTable[RecordedValue])),0)</f>
        <v>32.692307692307693</v>
      </c>
      <c r="L75" cm="1">
        <f t="array" ref="L75">IFERROR(_xlfn.STDEV.S(IF((OutputTable[GroupByKey]=OutputTable[[#This Row],[GroupByKey]]),(OutputTable[GroupByKey]=OutputTable[[#This Row],[GroupByKey]])*OutputTable[RecordedValue])),0)</f>
        <v>16.504467149757847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75" cm="1">
        <f t="array" ref="O75">MIN(IF((OutputTable[GroupByKey]=OutputTable[[#This Row],[GroupByKey]]),(OutputTable[GroupByKey]=OutputTable[[#This Row],[GroupByKey]])*OutputTable[RecordedValue]))</f>
        <v>10</v>
      </c>
      <c r="P75" cm="1">
        <f t="array" ref="P75">MAX(IF((OutputTable[GroupByKey]=OutputTable[[#This Row],[GroupByKey]]),(OutputTable[GroupByKey]=OutputTable[[#This Row],[GroupByKey]])*OutputTable[RecordedValue]))</f>
        <v>60</v>
      </c>
    </row>
    <row r="76" spans="1:16" x14ac:dyDescent="0.25">
      <c r="A76" t="s">
        <v>67</v>
      </c>
      <c r="B76" t="s">
        <v>107</v>
      </c>
      <c r="C76">
        <v>11</v>
      </c>
      <c r="D76" t="s">
        <v>103</v>
      </c>
      <c r="E76" t="s">
        <v>104</v>
      </c>
      <c r="F76" t="s">
        <v>91</v>
      </c>
      <c r="G76">
        <v>0.50974282027381601</v>
      </c>
      <c r="H76">
        <v>0</v>
      </c>
      <c r="I76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13</v>
      </c>
      <c r="K76" cm="1">
        <f t="array" ref="K76">IFERROR(AVERAGE(IF((OutputTable[GroupByKey]=OutputTable[[#This Row],[GroupByKey]]),(OutputTable[GroupByKey]=OutputTable[[#This Row],[GroupByKey]])*OutputTable[RecordedValue])),0)</f>
        <v>0.5508272599640216</v>
      </c>
      <c r="L76" cm="1">
        <f t="array" ref="L76">IFERROR(_xlfn.STDEV.S(IF((OutputTable[GroupByKey]=OutputTable[[#This Row],[GroupByKey]]),(OutputTable[GroupByKey]=OutputTable[[#This Row],[GroupByKey]])*OutputTable[RecordedValue])),0)</f>
        <v>0.26071930751958244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76" cm="1">
        <f t="array" ref="O76">MIN(IF((OutputTable[GroupByKey]=OutputTable[[#This Row],[GroupByKey]]),(OutputTable[GroupByKey]=OutputTable[[#This Row],[GroupByKey]])*OutputTable[RecordedValue]))</f>
        <v>0.146598355861076</v>
      </c>
      <c r="P76" cm="1">
        <f t="array" ref="P76">MAX(IF((OutputTable[GroupByKey]=OutputTable[[#This Row],[GroupByKey]]),(OutputTable[GroupByKey]=OutputTable[[#This Row],[GroupByKey]])*OutputTable[RecordedValue]))</f>
        <v>0.91769977116840795</v>
      </c>
    </row>
    <row r="77" spans="1:16" x14ac:dyDescent="0.25">
      <c r="A77" t="s">
        <v>67</v>
      </c>
      <c r="B77" t="s">
        <v>107</v>
      </c>
      <c r="C77">
        <v>11</v>
      </c>
      <c r="D77" t="s">
        <v>105</v>
      </c>
      <c r="E77" t="s">
        <v>102</v>
      </c>
      <c r="F77" t="s">
        <v>91</v>
      </c>
      <c r="G77">
        <v>16</v>
      </c>
      <c r="H77">
        <v>0</v>
      </c>
      <c r="I77" t="str">
        <f>OutputTable[[#This Row],[ProjectName]]&amp;OutputTable[[#This Row],[Name]]&amp;OutputTable[[#This Row],[Type]]&amp;OutputTable[[#This Row],[Source]]</f>
        <v>Unnamed ProjectrTaladro.NumberSeizedTotal Number SeizedResource</v>
      </c>
      <c r="J77" cm="1">
        <f t="array" ref="J77">MAX(IF((ProjectInfoTable[ProjectName]=OutputTable[[#This Row],[ProjectName]]),(ProjectInfoTable[ProjectName]=OutputTable[[#This Row],[ProjectName]])*ProjectInfoTable[NumberOfReplications]))</f>
        <v>13</v>
      </c>
      <c r="K77" cm="1">
        <f t="array" ref="K77">IFERROR(AVERAGE(IF((OutputTable[GroupByKey]=OutputTable[[#This Row],[GroupByKey]]),(OutputTable[GroupByKey]=OutputTable[[#This Row],[GroupByKey]])*OutputTable[RecordedValue])),0)</f>
        <v>11.153846153846153</v>
      </c>
      <c r="L77" cm="1">
        <f t="array" ref="L77">IFERROR(_xlfn.STDEV.S(IF((OutputTable[GroupByKey]=OutputTable[[#This Row],[GroupByKey]]),(OutputTable[GroupByKey]=OutputTable[[#This Row],[GroupByKey]])*OutputTable[RecordedValue])),0)</f>
        <v>5.6693055695583769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77" cm="1">
        <f t="array" ref="O77">MIN(IF((OutputTable[GroupByKey]=OutputTable[[#This Row],[GroupByKey]]),(OutputTable[GroupByKey]=OutputTable[[#This Row],[GroupByKey]])*OutputTable[RecordedValue]))</f>
        <v>4</v>
      </c>
      <c r="P77" cm="1">
        <f t="array" ref="P77">MAX(IF((OutputTable[GroupByKey]=OutputTable[[#This Row],[GroupByKey]]),(OutputTable[GroupByKey]=OutputTable[[#This Row],[GroupByKey]])*OutputTable[RecordedValue]))</f>
        <v>22</v>
      </c>
    </row>
    <row r="78" spans="1:16" x14ac:dyDescent="0.25">
      <c r="A78" t="s">
        <v>67</v>
      </c>
      <c r="B78" t="s">
        <v>107</v>
      </c>
      <c r="C78">
        <v>11</v>
      </c>
      <c r="D78" t="s">
        <v>106</v>
      </c>
      <c r="E78" t="s">
        <v>104</v>
      </c>
      <c r="F78" t="s">
        <v>91</v>
      </c>
      <c r="G78">
        <v>0.40559122061339797</v>
      </c>
      <c r="H78">
        <v>0</v>
      </c>
      <c r="I78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13</v>
      </c>
      <c r="K78" cm="1">
        <f t="array" ref="K78">IFERROR(AVERAGE(IF((OutputTable[GroupByKey]=OutputTable[[#This Row],[GroupByKey]]),(OutputTable[GroupByKey]=OutputTable[[#This Row],[GroupByKey]])*OutputTable[RecordedValue])),0)</f>
        <v>0.28215676683758301</v>
      </c>
      <c r="L78" cm="1">
        <f t="array" ref="L78">IFERROR(_xlfn.STDEV.S(IF((OutputTable[GroupByKey]=OutputTable[[#This Row],[GroupByKey]]),(OutputTable[GroupByKey]=OutputTable[[#This Row],[GroupByKey]])*OutputTable[RecordedValue])),0)</f>
        <v>0.13987907795908774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78" cm="1">
        <f t="array" ref="O78">MIN(IF((OutputTable[GroupByKey]=OutputTable[[#This Row],[GroupByKey]]),(OutputTable[GroupByKey]=OutputTable[[#This Row],[GroupByKey]])*OutputTable[RecordedValue]))</f>
        <v>0.105150492315538</v>
      </c>
      <c r="P78" cm="1">
        <f t="array" ref="P78">MAX(IF((OutputTable[GroupByKey]=OutputTable[[#This Row],[GroupByKey]]),(OutputTable[GroupByKey]=OutputTable[[#This Row],[GroupByKey]])*OutputTable[RecordedValue]))</f>
        <v>0.53316656156980802</v>
      </c>
    </row>
    <row r="79" spans="1:16" x14ac:dyDescent="0.25">
      <c r="A79" t="s">
        <v>67</v>
      </c>
      <c r="B79" t="s">
        <v>107</v>
      </c>
      <c r="C79">
        <v>12</v>
      </c>
      <c r="D79" t="s">
        <v>95</v>
      </c>
      <c r="E79" t="s">
        <v>96</v>
      </c>
      <c r="F79" t="s">
        <v>75</v>
      </c>
      <c r="G79">
        <v>30</v>
      </c>
      <c r="H79">
        <v>0</v>
      </c>
      <c r="I79" t="str">
        <f>OutputTable[[#This Row],[ProjectName]]&amp;OutputTable[[#This Row],[Name]]&amp;OutputTable[[#This Row],[Type]]&amp;OutputTable[[#This Row],[Source]]</f>
        <v>Unnamed ProjectItems.NumberInNumber InEntity</v>
      </c>
      <c r="J79" cm="1">
        <f t="array" ref="J79">MAX(IF((ProjectInfoTable[ProjectName]=OutputTable[[#This Row],[ProjectName]]),(ProjectInfoTable[ProjectName]=OutputTable[[#This Row],[ProjectName]])*ProjectInfoTable[NumberOfReplications]))</f>
        <v>13</v>
      </c>
      <c r="K79" cm="1">
        <f t="array" ref="K79">IFERROR(AVERAGE(IF((OutputTable[GroupByKey]=OutputTable[[#This Row],[GroupByKey]]),(OutputTable[GroupByKey]=OutputTable[[#This Row],[GroupByKey]])*OutputTable[RecordedValue])),0)</f>
        <v>38.46153846153846</v>
      </c>
      <c r="L79" cm="1">
        <f t="array" ref="L79">IFERROR(_xlfn.STDEV.S(IF((OutputTable[GroupByKey]=OutputTable[[#This Row],[GroupByKey]]),(OutputTable[GroupByKey]=OutputTable[[#This Row],[GroupByKey]])*OutputTable[RecordedValue])),0)</f>
        <v>21.543039806456381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79" cm="1">
        <f t="array" ref="O79">MIN(IF((OutputTable[GroupByKey]=OutputTable[[#This Row],[GroupByKey]]),(OutputTable[GroupByKey]=OutputTable[[#This Row],[GroupByKey]])*OutputTable[RecordedValue]))</f>
        <v>10</v>
      </c>
      <c r="P79" cm="1">
        <f t="array" ref="P79">MAX(IF((OutputTable[GroupByKey]=OutputTable[[#This Row],[GroupByKey]]),(OutputTable[GroupByKey]=OutputTable[[#This Row],[GroupByKey]])*OutputTable[RecordedValue]))</f>
        <v>70</v>
      </c>
    </row>
    <row r="80" spans="1:16" x14ac:dyDescent="0.25">
      <c r="A80" t="s">
        <v>67</v>
      </c>
      <c r="B80" t="s">
        <v>107</v>
      </c>
      <c r="C80">
        <v>12</v>
      </c>
      <c r="D80" t="s">
        <v>97</v>
      </c>
      <c r="E80" t="s">
        <v>98</v>
      </c>
      <c r="F80" t="s">
        <v>75</v>
      </c>
      <c r="G80">
        <v>30</v>
      </c>
      <c r="H80">
        <v>0</v>
      </c>
      <c r="I80" t="str">
        <f>OutputTable[[#This Row],[ProjectName]]&amp;OutputTable[[#This Row],[Name]]&amp;OutputTable[[#This Row],[Type]]&amp;OutputTable[[#This Row],[Source]]</f>
        <v>Unnamed ProjectItems.NumberOutNumber OutEntity</v>
      </c>
      <c r="J80" cm="1">
        <f t="array" ref="J80">MAX(IF((ProjectInfoTable[ProjectName]=OutputTable[[#This Row],[ProjectName]]),(ProjectInfoTable[ProjectName]=OutputTable[[#This Row],[ProjectName]])*ProjectInfoTable[NumberOfReplications]))</f>
        <v>13</v>
      </c>
      <c r="K80" cm="1">
        <f t="array" ref="K80">IFERROR(AVERAGE(IF((OutputTable[GroupByKey]=OutputTable[[#This Row],[GroupByKey]]),(OutputTable[GroupByKey]=OutputTable[[#This Row],[GroupByKey]])*OutputTable[RecordedValue])),0)</f>
        <v>31.76923076923077</v>
      </c>
      <c r="L80" cm="1">
        <f t="array" ref="L80">IFERROR(_xlfn.STDEV.S(IF((OutputTable[GroupByKey]=OutputTable[[#This Row],[GroupByKey]]),(OutputTable[GroupByKey]=OutputTable[[#This Row],[GroupByKey]])*OutputTable[RecordedValue])),0)</f>
        <v>15.932952468358597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80" cm="1">
        <f t="array" ref="O80">MIN(IF((OutputTable[GroupByKey]=OutputTable[[#This Row],[GroupByKey]]),(OutputTable[GroupByKey]=OutputTable[[#This Row],[GroupByKey]])*OutputTable[RecordedValue]))</f>
        <v>10</v>
      </c>
      <c r="P80" cm="1">
        <f t="array" ref="P80">MAX(IF((OutputTable[GroupByKey]=OutputTable[[#This Row],[GroupByKey]]),(OutputTable[GroupByKey]=OutputTable[[#This Row],[GroupByKey]])*OutputTable[RecordedValue]))</f>
        <v>60</v>
      </c>
    </row>
    <row r="81" spans="1:16" x14ac:dyDescent="0.25">
      <c r="A81" t="s">
        <v>67</v>
      </c>
      <c r="B81" t="s">
        <v>107</v>
      </c>
      <c r="C81">
        <v>12</v>
      </c>
      <c r="D81" t="s">
        <v>99</v>
      </c>
      <c r="E81" t="s">
        <v>98</v>
      </c>
      <c r="F81" t="s">
        <v>100</v>
      </c>
      <c r="G81">
        <v>30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13</v>
      </c>
      <c r="K81" cm="1">
        <f t="array" ref="K81">IFERROR(AVERAGE(IF((OutputTable[GroupByKey]=OutputTable[[#This Row],[GroupByKey]]),(OutputTable[GroupByKey]=OutputTable[[#This Row],[GroupByKey]])*OutputTable[RecordedValue])),0)</f>
        <v>31.76923076923077</v>
      </c>
      <c r="L81" cm="1">
        <f t="array" ref="L81">IFERROR(_xlfn.STDEV.S(IF((OutputTable[GroupByKey]=OutputTable[[#This Row],[GroupByKey]]),(OutputTable[GroupByKey]=OutputTable[[#This Row],[GroupByKey]])*OutputTable[RecordedValue])),0)</f>
        <v>15.932952468358597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81" cm="1">
        <f t="array" ref="O81">MIN(IF((OutputTable[GroupByKey]=OutputTable[[#This Row],[GroupByKey]]),(OutputTable[GroupByKey]=OutputTable[[#This Row],[GroupByKey]])*OutputTable[RecordedValue]))</f>
        <v>10</v>
      </c>
      <c r="P81" cm="1">
        <f t="array" ref="P81">MAX(IF((OutputTable[GroupByKey]=OutputTable[[#This Row],[GroupByKey]]),(OutputTable[GroupByKey]=OutputTable[[#This Row],[GroupByKey]])*OutputTable[RecordedValue]))</f>
        <v>60</v>
      </c>
    </row>
    <row r="82" spans="1:16" x14ac:dyDescent="0.25">
      <c r="A82" t="s">
        <v>67</v>
      </c>
      <c r="B82" t="s">
        <v>107</v>
      </c>
      <c r="C82">
        <v>12</v>
      </c>
      <c r="D82" t="s">
        <v>101</v>
      </c>
      <c r="E82" t="s">
        <v>102</v>
      </c>
      <c r="F82" t="s">
        <v>91</v>
      </c>
      <c r="G82">
        <v>30</v>
      </c>
      <c r="H82">
        <v>0</v>
      </c>
      <c r="I82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13</v>
      </c>
      <c r="K82" cm="1">
        <f t="array" ref="K82">IFERROR(AVERAGE(IF((OutputTable[GroupByKey]=OutputTable[[#This Row],[GroupByKey]]),(OutputTable[GroupByKey]=OutputTable[[#This Row],[GroupByKey]])*OutputTable[RecordedValue])),0)</f>
        <v>32.692307692307693</v>
      </c>
      <c r="L82" cm="1">
        <f t="array" ref="L82">IFERROR(_xlfn.STDEV.S(IF((OutputTable[GroupByKey]=OutputTable[[#This Row],[GroupByKey]]),(OutputTable[GroupByKey]=OutputTable[[#This Row],[GroupByKey]])*OutputTable[RecordedValue])),0)</f>
        <v>16.504467149757847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82" cm="1">
        <f t="array" ref="O82">MIN(IF((OutputTable[GroupByKey]=OutputTable[[#This Row],[GroupByKey]]),(OutputTable[GroupByKey]=OutputTable[[#This Row],[GroupByKey]])*OutputTable[RecordedValue]))</f>
        <v>10</v>
      </c>
      <c r="P82" cm="1">
        <f t="array" ref="P82">MAX(IF((OutputTable[GroupByKey]=OutputTable[[#This Row],[GroupByKey]]),(OutputTable[GroupByKey]=OutputTable[[#This Row],[GroupByKey]])*OutputTable[RecordedValue]))</f>
        <v>60</v>
      </c>
    </row>
    <row r="83" spans="1:16" x14ac:dyDescent="0.25">
      <c r="A83" t="s">
        <v>67</v>
      </c>
      <c r="B83" t="s">
        <v>107</v>
      </c>
      <c r="C83">
        <v>12</v>
      </c>
      <c r="D83" t="s">
        <v>103</v>
      </c>
      <c r="E83" t="s">
        <v>104</v>
      </c>
      <c r="F83" t="s">
        <v>91</v>
      </c>
      <c r="G83">
        <v>0.47628167505669899</v>
      </c>
      <c r="H83">
        <v>0</v>
      </c>
      <c r="I83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13</v>
      </c>
      <c r="K83" cm="1">
        <f t="array" ref="K83">IFERROR(AVERAGE(IF((OutputTable[GroupByKey]=OutputTable[[#This Row],[GroupByKey]]),(OutputTable[GroupByKey]=OutputTable[[#This Row],[GroupByKey]])*OutputTable[RecordedValue])),0)</f>
        <v>0.5508272599640216</v>
      </c>
      <c r="L83" cm="1">
        <f t="array" ref="L83">IFERROR(_xlfn.STDEV.S(IF((OutputTable[GroupByKey]=OutputTable[[#This Row],[GroupByKey]]),(OutputTable[GroupByKey]=OutputTable[[#This Row],[GroupByKey]])*OutputTable[RecordedValue])),0)</f>
        <v>0.26071930751958244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83" cm="1">
        <f t="array" ref="O83">MIN(IF((OutputTable[GroupByKey]=OutputTable[[#This Row],[GroupByKey]]),(OutputTable[GroupByKey]=OutputTable[[#This Row],[GroupByKey]])*OutputTable[RecordedValue]))</f>
        <v>0.146598355861076</v>
      </c>
      <c r="P83" cm="1">
        <f t="array" ref="P83">MAX(IF((OutputTable[GroupByKey]=OutputTable[[#This Row],[GroupByKey]]),(OutputTable[GroupByKey]=OutputTable[[#This Row],[GroupByKey]])*OutputTable[RecordedValue]))</f>
        <v>0.91769977116840795</v>
      </c>
    </row>
    <row r="84" spans="1:16" x14ac:dyDescent="0.25">
      <c r="A84" t="s">
        <v>67</v>
      </c>
      <c r="B84" t="s">
        <v>107</v>
      </c>
      <c r="C84">
        <v>12</v>
      </c>
      <c r="D84" t="s">
        <v>105</v>
      </c>
      <c r="E84" t="s">
        <v>102</v>
      </c>
      <c r="F84" t="s">
        <v>91</v>
      </c>
      <c r="G84">
        <v>7</v>
      </c>
      <c r="H84">
        <v>0</v>
      </c>
      <c r="I84" t="str">
        <f>OutputTable[[#This Row],[ProjectName]]&amp;OutputTable[[#This Row],[Name]]&amp;OutputTable[[#This Row],[Type]]&amp;OutputTable[[#This Row],[Source]]</f>
        <v>Unnamed ProjectrTaladro.NumberSeizedTotal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13</v>
      </c>
      <c r="K84" cm="1">
        <f t="array" ref="K84">IFERROR(AVERAGE(IF((OutputTable[GroupByKey]=OutputTable[[#This Row],[GroupByKey]]),(OutputTable[GroupByKey]=OutputTable[[#This Row],[GroupByKey]])*OutputTable[RecordedValue])),0)</f>
        <v>11.153846153846153</v>
      </c>
      <c r="L84" cm="1">
        <f t="array" ref="L84">IFERROR(_xlfn.STDEV.S(IF((OutputTable[GroupByKey]=OutputTable[[#This Row],[GroupByKey]]),(OutputTable[GroupByKey]=OutputTable[[#This Row],[GroupByKey]])*OutputTable[RecordedValue])),0)</f>
        <v>5.6693055695583769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84" cm="1">
        <f t="array" ref="O84">MIN(IF((OutputTable[GroupByKey]=OutputTable[[#This Row],[GroupByKey]]),(OutputTable[GroupByKey]=OutputTable[[#This Row],[GroupByKey]])*OutputTable[RecordedValue]))</f>
        <v>4</v>
      </c>
      <c r="P84" cm="1">
        <f t="array" ref="P84">MAX(IF((OutputTable[GroupByKey]=OutputTable[[#This Row],[GroupByKey]]),(OutputTable[GroupByKey]=OutputTable[[#This Row],[GroupByKey]])*OutputTable[RecordedValue]))</f>
        <v>22</v>
      </c>
    </row>
    <row r="85" spans="1:16" x14ac:dyDescent="0.25">
      <c r="A85" t="s">
        <v>67</v>
      </c>
      <c r="B85" t="s">
        <v>107</v>
      </c>
      <c r="C85">
        <v>12</v>
      </c>
      <c r="D85" t="s">
        <v>106</v>
      </c>
      <c r="E85" t="s">
        <v>104</v>
      </c>
      <c r="F85" t="s">
        <v>91</v>
      </c>
      <c r="G85">
        <v>0.178413744612513</v>
      </c>
      <c r="H85">
        <v>0</v>
      </c>
      <c r="I85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13</v>
      </c>
      <c r="K85" cm="1">
        <f t="array" ref="K85">IFERROR(AVERAGE(IF((OutputTable[GroupByKey]=OutputTable[[#This Row],[GroupByKey]]),(OutputTable[GroupByKey]=OutputTable[[#This Row],[GroupByKey]])*OutputTable[RecordedValue])),0)</f>
        <v>0.28215676683758301</v>
      </c>
      <c r="L85" cm="1">
        <f t="array" ref="L85">IFERROR(_xlfn.STDEV.S(IF((OutputTable[GroupByKey]=OutputTable[[#This Row],[GroupByKey]]),(OutputTable[GroupByKey]=OutputTable[[#This Row],[GroupByKey]])*OutputTable[RecordedValue])),0)</f>
        <v>0.13987907795908774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85" cm="1">
        <f t="array" ref="O85">MIN(IF((OutputTable[GroupByKey]=OutputTable[[#This Row],[GroupByKey]]),(OutputTable[GroupByKey]=OutputTable[[#This Row],[GroupByKey]])*OutputTable[RecordedValue]))</f>
        <v>0.105150492315538</v>
      </c>
      <c r="P85" cm="1">
        <f t="array" ref="P85">MAX(IF((OutputTable[GroupByKey]=OutputTable[[#This Row],[GroupByKey]]),(OutputTable[GroupByKey]=OutputTable[[#This Row],[GroupByKey]])*OutputTable[RecordedValue]))</f>
        <v>0.53316656156980802</v>
      </c>
    </row>
    <row r="86" spans="1:16" x14ac:dyDescent="0.25">
      <c r="A86" t="s">
        <v>67</v>
      </c>
      <c r="B86" t="s">
        <v>107</v>
      </c>
      <c r="C86">
        <v>13</v>
      </c>
      <c r="D86" t="s">
        <v>95</v>
      </c>
      <c r="E86" t="s">
        <v>96</v>
      </c>
      <c r="F86" t="s">
        <v>75</v>
      </c>
      <c r="G86">
        <v>30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ProjectItems.NumberInNumber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13</v>
      </c>
      <c r="K86" s="5" cm="1">
        <f t="array" ref="K86">IFERROR(AVERAGE(IF((OutputTable[GroupByKey]=OutputTable[[#This Row],[GroupByKey]]),(OutputTable[GroupByKey]=OutputTable[[#This Row],[GroupByKey]])*OutputTable[RecordedValue])),0)</f>
        <v>38.46153846153846</v>
      </c>
      <c r="L86" s="5" cm="1">
        <f t="array" ref="L86">IFERROR(_xlfn.STDEV.S(IF((OutputTable[GroupByKey]=OutputTable[[#This Row],[GroupByKey]]),(OutputTable[GroupByKey]=OutputTable[[#This Row],[GroupByKey]])*OutputTable[RecordedValue])),0)</f>
        <v>21.543039806456381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13.01832866440059</v>
      </c>
      <c r="O86" s="5" cm="1">
        <f t="array" ref="O86">MIN(IF((OutputTable[GroupByKey]=OutputTable[[#This Row],[GroupByKey]]),(OutputTable[GroupByKey]=OutputTable[[#This Row],[GroupByKey]])*OutputTable[RecordedValue]))</f>
        <v>10</v>
      </c>
      <c r="P86" s="5" cm="1">
        <f t="array" ref="P86">MAX(IF((OutputTable[GroupByKey]=OutputTable[[#This Row],[GroupByKey]]),(OutputTable[GroupByKey]=OutputTable[[#This Row],[GroupByKey]])*OutputTable[RecordedValue]))</f>
        <v>70</v>
      </c>
    </row>
    <row r="87" spans="1:16" x14ac:dyDescent="0.25">
      <c r="A87" t="s">
        <v>67</v>
      </c>
      <c r="B87" t="s">
        <v>107</v>
      </c>
      <c r="C87">
        <v>13</v>
      </c>
      <c r="D87" t="s">
        <v>97</v>
      </c>
      <c r="E87" t="s">
        <v>98</v>
      </c>
      <c r="F87" t="s">
        <v>75</v>
      </c>
      <c r="G87">
        <v>30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ProjectItems.NumberOutNumber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13</v>
      </c>
      <c r="K87" s="5" cm="1">
        <f t="array" ref="K87">IFERROR(AVERAGE(IF((OutputTable[GroupByKey]=OutputTable[[#This Row],[GroupByKey]]),(OutputTable[GroupByKey]=OutputTable[[#This Row],[GroupByKey]])*OutputTable[RecordedValue])),0)</f>
        <v>31.76923076923077</v>
      </c>
      <c r="L87" s="5" cm="1">
        <f t="array" ref="L87">IFERROR(_xlfn.STDEV.S(IF((OutputTable[GroupByKey]=OutputTable[[#This Row],[GroupByKey]]),(OutputTable[GroupByKey]=OutputTable[[#This Row],[GroupByKey]])*OutputTable[RecordedValue])),0)</f>
        <v>15.932952468358597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87" s="5" cm="1">
        <f t="array" ref="O87">MIN(IF((OutputTable[GroupByKey]=OutputTable[[#This Row],[GroupByKey]]),(OutputTable[GroupByKey]=OutputTable[[#This Row],[GroupByKey]])*OutputTable[RecordedValue]))</f>
        <v>10</v>
      </c>
      <c r="P87" s="5" cm="1">
        <f t="array" ref="P87">MAX(IF((OutputTable[GroupByKey]=OutputTable[[#This Row],[GroupByKey]]),(OutputTable[GroupByKey]=OutputTable[[#This Row],[GroupByKey]])*OutputTable[RecordedValue]))</f>
        <v>60</v>
      </c>
    </row>
    <row r="88" spans="1:16" x14ac:dyDescent="0.25">
      <c r="A88" t="s">
        <v>67</v>
      </c>
      <c r="B88" t="s">
        <v>107</v>
      </c>
      <c r="C88">
        <v>13</v>
      </c>
      <c r="D88" t="s">
        <v>99</v>
      </c>
      <c r="E88" t="s">
        <v>98</v>
      </c>
      <c r="F88" t="s">
        <v>100</v>
      </c>
      <c r="G88">
        <v>30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ProjectSystem.NumberOutNumber OutSystem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13</v>
      </c>
      <c r="K88" s="5" cm="1">
        <f t="array" ref="K88">IFERROR(AVERAGE(IF((OutputTable[GroupByKey]=OutputTable[[#This Row],[GroupByKey]]),(OutputTable[GroupByKey]=OutputTable[[#This Row],[GroupByKey]])*OutputTable[RecordedValue])),0)</f>
        <v>31.76923076923077</v>
      </c>
      <c r="L88" s="5" cm="1">
        <f t="array" ref="L88">IFERROR(_xlfn.STDEV.S(IF((OutputTable[GroupByKey]=OutputTable[[#This Row],[GroupByKey]]),(OutputTable[GroupByKey]=OutputTable[[#This Row],[GroupByKey]])*OutputTable[RecordedValue])),0)</f>
        <v>15.932952468358597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9.6281868153630583</v>
      </c>
      <c r="O88" s="5" cm="1">
        <f t="array" ref="O88">MIN(IF((OutputTable[GroupByKey]=OutputTable[[#This Row],[GroupByKey]]),(OutputTable[GroupByKey]=OutputTable[[#This Row],[GroupByKey]])*OutputTable[RecordedValue]))</f>
        <v>10</v>
      </c>
      <c r="P88" s="5" cm="1">
        <f t="array" ref="P88">MAX(IF((OutputTable[GroupByKey]=OutputTable[[#This Row],[GroupByKey]]),(OutputTable[GroupByKey]=OutputTable[[#This Row],[GroupByKey]])*OutputTable[RecordedValue]))</f>
        <v>60</v>
      </c>
    </row>
    <row r="89" spans="1:16" x14ac:dyDescent="0.25">
      <c r="A89" t="s">
        <v>67</v>
      </c>
      <c r="B89" t="s">
        <v>107</v>
      </c>
      <c r="C89">
        <v>13</v>
      </c>
      <c r="D89" t="s">
        <v>101</v>
      </c>
      <c r="E89" t="s">
        <v>102</v>
      </c>
      <c r="F89" t="s">
        <v>91</v>
      </c>
      <c r="G89">
        <v>30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ProjectrFresadora.NumberSeizedTotal Number SeizedResource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13</v>
      </c>
      <c r="K89" s="5" cm="1">
        <f t="array" ref="K89">IFERROR(AVERAGE(IF((OutputTable[GroupByKey]=OutputTable[[#This Row],[GroupByKey]]),(OutputTable[GroupByKey]=OutputTable[[#This Row],[GroupByKey]])*OutputTable[RecordedValue])),0)</f>
        <v>32.692307692307693</v>
      </c>
      <c r="L89" s="5" cm="1">
        <f t="array" ref="L89">IFERROR(_xlfn.STDEV.S(IF((OutputTable[GroupByKey]=OutputTable[[#This Row],[GroupByKey]]),(OutputTable[GroupByKey]=OutputTable[[#This Row],[GroupByKey]])*OutputTable[RecordedValue])),0)</f>
        <v>16.504467149757847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9.9735496808559692</v>
      </c>
      <c r="O89" s="5" cm="1">
        <f t="array" ref="O89">MIN(IF((OutputTable[GroupByKey]=OutputTable[[#This Row],[GroupByKey]]),(OutputTable[GroupByKey]=OutputTable[[#This Row],[GroupByKey]])*OutputTable[RecordedValue]))</f>
        <v>10</v>
      </c>
      <c r="P89" s="5" cm="1">
        <f t="array" ref="P89">MAX(IF((OutputTable[GroupByKey]=OutputTable[[#This Row],[GroupByKey]]),(OutputTable[GroupByKey]=OutputTable[[#This Row],[GroupByKey]])*OutputTable[RecordedValue]))</f>
        <v>60</v>
      </c>
    </row>
    <row r="90" spans="1:16" x14ac:dyDescent="0.25">
      <c r="A90" t="s">
        <v>67</v>
      </c>
      <c r="B90" t="s">
        <v>107</v>
      </c>
      <c r="C90">
        <v>13</v>
      </c>
      <c r="D90" t="s">
        <v>103</v>
      </c>
      <c r="E90" t="s">
        <v>104</v>
      </c>
      <c r="F90" t="s">
        <v>91</v>
      </c>
      <c r="G90">
        <v>0.625929991673979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ProjectrFresadora.ScheduledUtilizationScheduled UtilizationResource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13</v>
      </c>
      <c r="K90" s="5" cm="1">
        <f t="array" ref="K90">IFERROR(AVERAGE(IF((OutputTable[GroupByKey]=OutputTable[[#This Row],[GroupByKey]]),(OutputTable[GroupByKey]=OutputTable[[#This Row],[GroupByKey]])*OutputTable[RecordedValue])),0)</f>
        <v>0.5508272599640216</v>
      </c>
      <c r="L90" s="5" cm="1">
        <f t="array" ref="L90">IFERROR(_xlfn.STDEV.S(IF((OutputTable[GroupByKey]=OutputTable[[#This Row],[GroupByKey]]),(OutputTable[GroupByKey]=OutputTable[[#This Row],[GroupByKey]])*OutputTable[RecordedValue])),0)</f>
        <v>0.26071930751958244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0.1575511007238469</v>
      </c>
      <c r="O90" s="5" cm="1">
        <f t="array" ref="O90">MIN(IF((OutputTable[GroupByKey]=OutputTable[[#This Row],[GroupByKey]]),(OutputTable[GroupByKey]=OutputTable[[#This Row],[GroupByKey]])*OutputTable[RecordedValue]))</f>
        <v>0.146598355861076</v>
      </c>
      <c r="P90" s="5" cm="1">
        <f t="array" ref="P90">MAX(IF((OutputTable[GroupByKey]=OutputTable[[#This Row],[GroupByKey]]),(OutputTable[GroupByKey]=OutputTable[[#This Row],[GroupByKey]])*OutputTable[RecordedValue]))</f>
        <v>0.91769977116840795</v>
      </c>
    </row>
    <row r="91" spans="1:16" x14ac:dyDescent="0.25">
      <c r="A91" t="s">
        <v>67</v>
      </c>
      <c r="B91" t="s">
        <v>107</v>
      </c>
      <c r="C91">
        <v>13</v>
      </c>
      <c r="D91" t="s">
        <v>105</v>
      </c>
      <c r="E91" t="s">
        <v>102</v>
      </c>
      <c r="F91" t="s">
        <v>91</v>
      </c>
      <c r="G91">
        <v>14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ProjectrTaladro.NumberSeizedTotal Number SeizedResource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13</v>
      </c>
      <c r="K91" s="5" cm="1">
        <f t="array" ref="K91">IFERROR(AVERAGE(IF((OutputTable[GroupByKey]=OutputTable[[#This Row],[GroupByKey]]),(OutputTable[GroupByKey]=OutputTable[[#This Row],[GroupByKey]])*OutputTable[RecordedValue])),0)</f>
        <v>11.153846153846153</v>
      </c>
      <c r="L91" s="5" cm="1">
        <f t="array" ref="L91">IFERROR(_xlfn.STDEV.S(IF((OutputTable[GroupByKey]=OutputTable[[#This Row],[GroupByKey]]),(OutputTable[GroupByKey]=OutputTable[[#This Row],[GroupByKey]])*OutputTable[RecordedValue])),0)</f>
        <v>5.6693055695583769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3.4259270681618781</v>
      </c>
      <c r="O91" s="5" cm="1">
        <f t="array" ref="O91">MIN(IF((OutputTable[GroupByKey]=OutputTable[[#This Row],[GroupByKey]]),(OutputTable[GroupByKey]=OutputTable[[#This Row],[GroupByKey]])*OutputTable[RecordedValue]))</f>
        <v>4</v>
      </c>
      <c r="P91" s="5" cm="1">
        <f t="array" ref="P91">MAX(IF((OutputTable[GroupByKey]=OutputTable[[#This Row],[GroupByKey]]),(OutputTable[GroupByKey]=OutputTable[[#This Row],[GroupByKey]])*OutputTable[RecordedValue]))</f>
        <v>22</v>
      </c>
    </row>
    <row r="92" spans="1:16" x14ac:dyDescent="0.25">
      <c r="A92" t="s">
        <v>67</v>
      </c>
      <c r="B92" t="s">
        <v>107</v>
      </c>
      <c r="C92">
        <v>13</v>
      </c>
      <c r="D92" t="s">
        <v>106</v>
      </c>
      <c r="E92" t="s">
        <v>104</v>
      </c>
      <c r="F92" t="s">
        <v>91</v>
      </c>
      <c r="G92">
        <v>0.366284911322244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ProjectrTaladro.ScheduledUtilizationScheduled UtilizationResource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13</v>
      </c>
      <c r="K92" s="5" cm="1">
        <f t="array" ref="K92">IFERROR(AVERAGE(IF((OutputTable[GroupByKey]=OutputTable[[#This Row],[GroupByKey]]),(OutputTable[GroupByKey]=OutputTable[[#This Row],[GroupByKey]])*OutputTable[RecordedValue])),0)</f>
        <v>0.28215676683758301</v>
      </c>
      <c r="L92" s="5" cm="1">
        <f t="array" ref="L92">IFERROR(_xlfn.STDEV.S(IF((OutputTable[GroupByKey]=OutputTable[[#This Row],[GroupByKey]]),(OutputTable[GroupByKey]=OutputTable[[#This Row],[GroupByKey]])*OutputTable[RecordedValue])),0)</f>
        <v>0.13987907795908774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8.4528080832815961E-2</v>
      </c>
      <c r="O92" s="5" cm="1">
        <f t="array" ref="O92">MIN(IF((OutputTable[GroupByKey]=OutputTable[[#This Row],[GroupByKey]]),(OutputTable[GroupByKey]=OutputTable[[#This Row],[GroupByKey]])*OutputTable[RecordedValue]))</f>
        <v>0.105150492315538</v>
      </c>
      <c r="P92" s="5" cm="1">
        <f t="array" ref="P92">MAX(IF((OutputTable[GroupByKey]=OutputTable[[#This Row],[GroupByKey]]),(OutputTable[GroupByKey]=OutputTable[[#This Row],[GroupByKey]])*OutputTable[RecordedValue]))</f>
        <v>0.53316656156980802</v>
      </c>
    </row>
  </sheetData>
  <phoneticPr fontId="2" type="noConversion"/>
  <conditionalFormatting sqref="I2:P92">
    <cfRule type="expression" dxfId="3" priority="2">
      <formula>MOD(ROW(),2)=0</formula>
    </cfRule>
  </conditionalFormatting>
  <conditionalFormatting sqref="N2:N9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2025-05-22T07:26:46Z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